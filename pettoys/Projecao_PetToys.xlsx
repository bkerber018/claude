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missas" sheetId="1" state="visible" r:id="rId1"/>
    <sheet xmlns:r="http://schemas.openxmlformats.org/officeDocument/2006/relationships" name="Projeção" sheetId="2" state="visible" r:id="rId2"/>
  </sheets>
  <definedNames>
    <definedName name="Setup">Premissas!$B$5</definedName>
    <definedName name="Parc">Premissas!$B$6</definedName>
    <definedName name="MensA">Premissas!$B$7</definedName>
    <definedName name="MesesA">Premissas!$B$8</definedName>
    <definedName name="MensB">Premissas!$B$9</definedName>
    <definedName name="VarP">Premissas!$B$10</definedName>
    <definedName name="Gat">Premissas!$B$11</definedName>
    <definedName name="Pot">Premissas!$B$13</definedName>
    <definedName name="Marg">Premissas!$B$14</definedName>
    <definedName name="AdsP">Premissas!$B$15</definedName>
    <definedName name="AdsIni">Premissas!$B$16</definedName>
    <definedName name="Piso">Premissas!$B$17</definedName>
    <definedName name="PisoAte">Premissas!$B$18</definedName>
    <definedName name="Saz">Premissas!$B$21:$B$32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$&quot; #,##0;[Red]-&quot;R$&quot; #,##0"/>
    <numFmt numFmtId="165" formatCode="0.0%"/>
  </numFmts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78839A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4E5"/>
      </patternFill>
    </fill>
    <fill>
      <patternFill patternType="solid">
        <fgColor rgb="00111A2C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0" fillId="2" borderId="0" pivotButton="0" quotePrefix="0" xfId="0"/>
    <xf numFmtId="1" fontId="0" fillId="2" borderId="0" pivotButton="0" quotePrefix="0" xfId="0"/>
    <xf numFmtId="165" fontId="0" fillId="2" borderId="0" pivotButton="0" quotePrefix="0" xfId="0"/>
    <xf numFmtId="2" fontId="0" fillId="2" borderId="0" pivotButton="0" quotePrefix="0" xfId="0"/>
    <xf numFmtId="0" fontId="4" fillId="3" borderId="0" applyAlignment="1" pivotButton="0" quotePrefix="0" xfId="0">
      <alignment horizontal="center" wrapText="1"/>
    </xf>
    <xf numFmtId="0" fontId="0" fillId="0" borderId="1" pivotButton="0" quotePrefix="0" xfId="0"/>
    <xf numFmtId="9" fontId="0" fillId="2" borderId="1" pivotButton="0" quotePrefix="0" xfId="0"/>
    <xf numFmtId="2" fontId="0" fillId="0" borderId="1" pivotButton="0" quotePrefix="0" xfId="0"/>
    <xf numFmtId="164" fontId="0" fillId="0" borderId="1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Resultado acumulado da venda direta</a:t>
            </a:r>
          </a:p>
        </rich>
      </tx>
    </title>
    <plotArea>
      <lineChart>
        <grouping val="standard"/>
        <ser>
          <idx val="0"/>
          <order val="0"/>
          <tx>
            <strRef>
              <f>'Projeção'!O1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'Projeção'!$B$2:$B$26</f>
            </numRef>
          </cat>
          <val>
            <numRef>
              <f>'Projeção'!$O$2:$O$26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Venda direta mensal (GMV)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'Projeção'!G1</f>
            </strRef>
          </tx>
          <spPr>
            <a:ln xmlns:a="http://schemas.openxmlformats.org/drawingml/2006/main">
              <a:prstDash val="solid"/>
            </a:ln>
          </spPr>
          <cat>
            <numRef>
              <f>'Projeção'!$B$2:$B$26</f>
            </numRef>
          </cat>
          <val>
            <numRef>
              <f>'Projeção'!$G$2:$G$26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35</row>
      <rowOff>0</rowOff>
    </from>
    <ext cx="79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35</row>
      <rowOff>0</rowOff>
    </from>
    <ext cx="792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58" customWidth="1" min="3" max="3"/>
  </cols>
  <sheetData>
    <row r="1">
      <c r="A1" s="1" t="inlineStr">
        <is>
          <t>Pet Toys · Projeção da venda direta (Fase 2) · premissas editáveis</t>
        </is>
      </c>
    </row>
    <row r="2">
      <c r="A2" s="2" t="inlineStr">
        <is>
          <t>Células em laranja são editáveis. Simulação, não meta de faturamento. impulsio · outubro 2026</t>
        </is>
      </c>
    </row>
    <row r="4">
      <c r="A4" s="3" t="inlineStr">
        <is>
          <t>Contrato impulsio</t>
        </is>
      </c>
    </row>
    <row r="5">
      <c r="A5" t="inlineStr">
        <is>
          <t>Setup total</t>
        </is>
      </c>
      <c r="B5" s="4" t="n">
        <v>15000</v>
      </c>
      <c r="C5" s="2" t="inlineStr">
        <is>
          <t>Pago em parcelas iguais</t>
        </is>
      </c>
    </row>
    <row r="6">
      <c r="A6" t="inlineStr">
        <is>
          <t>Setup · parcelas</t>
        </is>
      </c>
      <c r="B6" s="5" t="n">
        <v>6</v>
      </c>
      <c r="C6" s="2" t="inlineStr"/>
    </row>
    <row r="7">
      <c r="A7" t="inlineStr">
        <is>
          <t>Mensalidade nos primeiros meses</t>
        </is>
      </c>
      <c r="B7" s="4" t="n">
        <v>3500</v>
      </c>
      <c r="C7" s="2" t="inlineStr">
        <is>
          <t>Somada à parcela do setup dá R$ 6.000</t>
        </is>
      </c>
    </row>
    <row r="8">
      <c r="A8" t="inlineStr">
        <is>
          <t>Primeiros meses (até o mês)</t>
        </is>
      </c>
      <c r="B8" s="5" t="n">
        <v>6</v>
      </c>
      <c r="C8" s="2" t="inlineStr"/>
    </row>
    <row r="9">
      <c r="A9" t="inlineStr">
        <is>
          <t>Mensalidade depois (ML 4.500 + Amazon 1.700)</t>
        </is>
      </c>
      <c r="B9" s="4" t="n">
        <v>6200</v>
      </c>
      <c r="C9" s="2" t="inlineStr"/>
    </row>
    <row r="10">
      <c r="A10" t="inlineStr">
        <is>
          <t>Variável sobre a venda direta</t>
        </is>
      </c>
      <c r="B10" s="6" t="n">
        <v>0.02</v>
      </c>
      <c r="C10" s="2" t="inlineStr">
        <is>
          <t>Só sobre o excedente do gatilho</t>
        </is>
      </c>
    </row>
    <row r="11">
      <c r="A11" t="inlineStr">
        <is>
          <t>Gatilho do variável (venda direta/mês)</t>
        </is>
      </c>
      <c r="B11" s="4" t="n">
        <v>150000</v>
      </c>
      <c r="C11" s="2" t="inlineStr">
        <is>
          <t>Abaixo disso, variável zero</t>
        </is>
      </c>
    </row>
    <row r="12">
      <c r="A12" s="3" t="inlineStr">
        <is>
          <t>Operação Pet Toys</t>
        </is>
      </c>
    </row>
    <row r="13">
      <c r="A13" t="inlineStr">
        <is>
          <t>Potencial da venda direta em regime (R$/mês)</t>
        </is>
      </c>
      <c r="B13" s="4" t="n">
        <v>200000</v>
      </c>
      <c r="C13" s="2" t="inlineStr">
        <is>
          <t>1,2% da prateleira de ~R$ 16 mi/mês (JoomPulse, set/26)</t>
        </is>
      </c>
    </row>
    <row r="14">
      <c r="A14" t="inlineStr">
        <is>
          <t>Margem sobre a venda (líq. comissão, frete, imposto)</t>
        </is>
      </c>
      <c r="B14" s="6" t="n">
        <v>0.2</v>
      </c>
      <c r="C14" s="2" t="inlineStr">
        <is>
          <t>Faixa informada: 15% a 20%</t>
        </is>
      </c>
    </row>
    <row r="15">
      <c r="A15" t="inlineStr">
        <is>
          <t>Mídia paga (% do GMV)</t>
        </is>
      </c>
      <c r="B15" s="6" t="n">
        <v>0.03</v>
      </c>
      <c r="C15" s="2" t="inlineStr">
        <is>
          <t>Paga à plataforma, fora do contrato</t>
        </is>
      </c>
    </row>
    <row r="16">
      <c r="A16" t="inlineStr">
        <is>
          <t>Mídia começa no mês</t>
        </is>
      </c>
      <c r="B16" s="5" t="n">
        <v>6</v>
      </c>
      <c r="C16" s="2" t="inlineStr">
        <is>
          <t>3º mês de venda direta</t>
        </is>
      </c>
    </row>
    <row r="17">
      <c r="A17" t="inlineStr">
        <is>
          <t>Verba mínima de mídia (R$/mês)</t>
        </is>
      </c>
      <c r="B17" s="4" t="n">
        <v>1000</v>
      </c>
      <c r="C17" s="2" t="inlineStr"/>
    </row>
    <row r="18">
      <c r="A18" t="inlineStr">
        <is>
          <t>Verba mínima até o mês</t>
        </is>
      </c>
      <c r="B18" s="5" t="n">
        <v>9</v>
      </c>
      <c r="C18" s="2" t="inlineStr"/>
    </row>
    <row r="20">
      <c r="A20" s="3" t="inlineStr">
        <is>
          <t>Sazonalidade (varejo pet) · índice do mês</t>
        </is>
      </c>
    </row>
    <row r="21">
      <c r="A21" t="inlineStr">
        <is>
          <t>jan</t>
        </is>
      </c>
      <c r="B21" s="7" t="n">
        <v>0.88</v>
      </c>
    </row>
    <row r="22">
      <c r="A22" t="inlineStr">
        <is>
          <t>fev</t>
        </is>
      </c>
      <c r="B22" s="7" t="n">
        <v>0.86</v>
      </c>
    </row>
    <row r="23">
      <c r="A23" t="inlineStr">
        <is>
          <t>mar</t>
        </is>
      </c>
      <c r="B23" s="7" t="n">
        <v>1</v>
      </c>
    </row>
    <row r="24">
      <c r="A24" t="inlineStr">
        <is>
          <t>abr</t>
        </is>
      </c>
      <c r="B24" s="7" t="n">
        <v>0.98</v>
      </c>
    </row>
    <row r="25">
      <c r="A25" t="inlineStr">
        <is>
          <t>mai</t>
        </is>
      </c>
      <c r="B25" s="7" t="n">
        <v>1.02</v>
      </c>
    </row>
    <row r="26">
      <c r="A26" t="inlineStr">
        <is>
          <t>jun</t>
        </is>
      </c>
      <c r="B26" s="7" t="n">
        <v>0.95</v>
      </c>
    </row>
    <row r="27">
      <c r="A27" t="inlineStr">
        <is>
          <t>jul</t>
        </is>
      </c>
      <c r="B27" s="7" t="n">
        <v>1</v>
      </c>
    </row>
    <row r="28">
      <c r="A28" t="inlineStr">
        <is>
          <t>ago</t>
        </is>
      </c>
      <c r="B28" s="7" t="n">
        <v>1.03</v>
      </c>
    </row>
    <row r="29">
      <c r="A29" t="inlineStr">
        <is>
          <t>set</t>
        </is>
      </c>
      <c r="B29" s="7" t="n">
        <v>1</v>
      </c>
    </row>
    <row r="30">
      <c r="A30" t="inlineStr">
        <is>
          <t>out</t>
        </is>
      </c>
      <c r="B30" s="7" t="n">
        <v>1.06</v>
      </c>
    </row>
    <row r="31">
      <c r="A31" t="inlineStr">
        <is>
          <t>nov</t>
        </is>
      </c>
      <c r="B31" s="7" t="n">
        <v>1.18</v>
      </c>
    </row>
    <row r="32">
      <c r="A32" t="inlineStr">
        <is>
          <t>dez</t>
        </is>
      </c>
      <c r="B32" s="7" t="n">
        <v>1.12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8" customWidth="1" min="3" max="3"/>
    <col width="18" customWidth="1" min="4" max="4"/>
    <col width="10" customWidth="1" min="5" max="5"/>
    <col width="11" customWidth="1" min="6" max="6"/>
    <col width="16" customWidth="1" min="7" max="7"/>
    <col width="13" customWidth="1" min="8" max="8"/>
    <col width="12" customWidth="1" min="9" max="9"/>
    <col width="11" customWidth="1" min="10" max="10"/>
    <col width="12" customWidth="1" min="11" max="11"/>
    <col width="11" customWidth="1" min="12" max="12"/>
    <col width="13" customWidth="1" min="13" max="13"/>
    <col width="13" customWidth="1" min="14" max="14"/>
    <col width="14" customWidth="1" min="15" max="15"/>
  </cols>
  <sheetData>
    <row r="1">
      <c r="A1" s="8" t="inlineStr">
        <is>
          <t>Mês</t>
        </is>
      </c>
      <c r="B1" s="8" t="inlineStr">
        <is>
          <t>Período</t>
        </is>
      </c>
      <c r="C1" s="8" t="inlineStr">
        <is>
          <t>Mês do ano</t>
        </is>
      </c>
      <c r="D1" s="8" t="inlineStr">
        <is>
          <t>Fase</t>
        </is>
      </c>
      <c r="E1" s="8" t="inlineStr">
        <is>
          <t>Maturação</t>
        </is>
      </c>
      <c r="F1" s="8" t="inlineStr">
        <is>
          <t>Sazonalidade</t>
        </is>
      </c>
      <c r="G1" s="8" t="inlineStr">
        <is>
          <t>Venda direta (GMV)</t>
        </is>
      </c>
      <c r="H1" s="8" t="inlineStr">
        <is>
          <t>Margem</t>
        </is>
      </c>
      <c r="I1" s="8" t="inlineStr">
        <is>
          <t>Mídia</t>
        </is>
      </c>
      <c r="J1" s="8" t="inlineStr">
        <is>
          <t>Setup</t>
        </is>
      </c>
      <c r="K1" s="8" t="inlineStr">
        <is>
          <t>Mensalidade</t>
        </is>
      </c>
      <c r="L1" s="8" t="inlineStr">
        <is>
          <t>Variável</t>
        </is>
      </c>
      <c r="M1" s="8" t="inlineStr">
        <is>
          <t>Total impulsio</t>
        </is>
      </c>
      <c r="N1" s="8" t="inlineStr">
        <is>
          <t>Resultado</t>
        </is>
      </c>
      <c r="O1" s="8" t="inlineStr">
        <is>
          <t>Acumulado</t>
        </is>
      </c>
    </row>
    <row r="2">
      <c r="A2" s="9" t="n">
        <v>1</v>
      </c>
      <c r="B2" s="9" t="inlineStr">
        <is>
          <t>nov/26</t>
        </is>
      </c>
      <c r="C2" s="9" t="n">
        <v>11</v>
      </c>
      <c r="D2" s="9" t="inlineStr">
        <is>
          <t>1 · Protagonista</t>
        </is>
      </c>
      <c r="E2" s="10" t="n">
        <v>0</v>
      </c>
      <c r="F2" s="11">
        <f>INDEX(Saz,C2)</f>
        <v/>
      </c>
      <c r="G2" s="12">
        <f>ROUND(Pot*E2*F2/500,0)*500</f>
        <v/>
      </c>
      <c r="H2" s="12">
        <f>G2*Marg</f>
        <v/>
      </c>
      <c r="I2" s="12">
        <f>IF(OR(A2&lt;AdsIni,G2=0),0,IF(A2&lt;=PisoAte,MAX(G2*AdsP,Piso),G2*AdsP))</f>
        <v/>
      </c>
      <c r="J2" s="12">
        <f>IF(A2&lt;=Parc,Setup/Parc,0)</f>
        <v/>
      </c>
      <c r="K2" s="12">
        <f>IF(A2&lt;=MesesA,MensA,MensB)</f>
        <v/>
      </c>
      <c r="L2" s="12">
        <f>IF(G2&gt;Gat,(G2-Gat)*VarP,0)</f>
        <v/>
      </c>
      <c r="M2" s="12">
        <f>J2+K2+L2</f>
        <v/>
      </c>
      <c r="N2" s="12">
        <f>H2-I2-M2</f>
        <v/>
      </c>
      <c r="O2" s="12">
        <f>N2</f>
        <v/>
      </c>
    </row>
    <row r="3">
      <c r="A3" s="9" t="n">
        <v>2</v>
      </c>
      <c r="B3" s="9" t="inlineStr">
        <is>
          <t>dez/26</t>
        </is>
      </c>
      <c r="C3" s="9" t="n">
        <v>12</v>
      </c>
      <c r="D3" s="9" t="inlineStr">
        <is>
          <t>1 · Protagonista</t>
        </is>
      </c>
      <c r="E3" s="10" t="n">
        <v>0</v>
      </c>
      <c r="F3" s="11">
        <f>INDEX(Saz,C3)</f>
        <v/>
      </c>
      <c r="G3" s="12">
        <f>ROUND(Pot*E3*F3/500,0)*500</f>
        <v/>
      </c>
      <c r="H3" s="12">
        <f>G3*Marg</f>
        <v/>
      </c>
      <c r="I3" s="12">
        <f>IF(OR(A3&lt;AdsIni,G3=0),0,IF(A3&lt;=PisoAte,MAX(G3*AdsP,Piso),G3*AdsP))</f>
        <v/>
      </c>
      <c r="J3" s="12">
        <f>IF(A3&lt;=Parc,Setup/Parc,0)</f>
        <v/>
      </c>
      <c r="K3" s="12">
        <f>IF(A3&lt;=MesesA,MensA,MensB)</f>
        <v/>
      </c>
      <c r="L3" s="12">
        <f>IF(G3&gt;Gat,(G3-Gat)*VarP,0)</f>
        <v/>
      </c>
      <c r="M3" s="12">
        <f>J3+K3+L3</f>
        <v/>
      </c>
      <c r="N3" s="12">
        <f>H3-I3-M3</f>
        <v/>
      </c>
      <c r="O3" s="12">
        <f>O2+N3</f>
        <v/>
      </c>
    </row>
    <row r="4">
      <c r="A4" s="9" t="n">
        <v>3</v>
      </c>
      <c r="B4" s="9" t="inlineStr">
        <is>
          <t>jan/27</t>
        </is>
      </c>
      <c r="C4" s="9" t="n">
        <v>1</v>
      </c>
      <c r="D4" s="9" t="inlineStr">
        <is>
          <t>1 · Protagonista</t>
        </is>
      </c>
      <c r="E4" s="10" t="n">
        <v>0</v>
      </c>
      <c r="F4" s="11">
        <f>INDEX(Saz,C4)</f>
        <v/>
      </c>
      <c r="G4" s="12">
        <f>ROUND(Pot*E4*F4/500,0)*500</f>
        <v/>
      </c>
      <c r="H4" s="12">
        <f>G4*Marg</f>
        <v/>
      </c>
      <c r="I4" s="12">
        <f>IF(OR(A4&lt;AdsIni,G4=0),0,IF(A4&lt;=PisoAte,MAX(G4*AdsP,Piso),G4*AdsP))</f>
        <v/>
      </c>
      <c r="J4" s="12">
        <f>IF(A4&lt;=Parc,Setup/Parc,0)</f>
        <v/>
      </c>
      <c r="K4" s="12">
        <f>IF(A4&lt;=MesesA,MensA,MensB)</f>
        <v/>
      </c>
      <c r="L4" s="12">
        <f>IF(G4&gt;Gat,(G4-Gat)*VarP,0)</f>
        <v/>
      </c>
      <c r="M4" s="12">
        <f>J4+K4+L4</f>
        <v/>
      </c>
      <c r="N4" s="12">
        <f>H4-I4-M4</f>
        <v/>
      </c>
      <c r="O4" s="12">
        <f>O3+N4</f>
        <v/>
      </c>
    </row>
    <row r="5">
      <c r="A5" s="9" t="n">
        <v>4</v>
      </c>
      <c r="B5" s="9" t="inlineStr">
        <is>
          <t>fev/27</t>
        </is>
      </c>
      <c r="C5" s="9" t="n">
        <v>2</v>
      </c>
      <c r="D5" s="9" t="inlineStr">
        <is>
          <t>2 · + venda direta</t>
        </is>
      </c>
      <c r="E5" s="10" t="n">
        <v>0.02</v>
      </c>
      <c r="F5" s="11">
        <f>INDEX(Saz,C5)</f>
        <v/>
      </c>
      <c r="G5" s="12">
        <f>ROUND(Pot*E5*F5/500,0)*500</f>
        <v/>
      </c>
      <c r="H5" s="12">
        <f>G5*Marg</f>
        <v/>
      </c>
      <c r="I5" s="12">
        <f>IF(OR(A5&lt;AdsIni,G5=0),0,IF(A5&lt;=PisoAte,MAX(G5*AdsP,Piso),G5*AdsP))</f>
        <v/>
      </c>
      <c r="J5" s="12">
        <f>IF(A5&lt;=Parc,Setup/Parc,0)</f>
        <v/>
      </c>
      <c r="K5" s="12">
        <f>IF(A5&lt;=MesesA,MensA,MensB)</f>
        <v/>
      </c>
      <c r="L5" s="12">
        <f>IF(G5&gt;Gat,(G5-Gat)*VarP,0)</f>
        <v/>
      </c>
      <c r="M5" s="12">
        <f>J5+K5+L5</f>
        <v/>
      </c>
      <c r="N5" s="12">
        <f>H5-I5-M5</f>
        <v/>
      </c>
      <c r="O5" s="12">
        <f>O4+N5</f>
        <v/>
      </c>
    </row>
    <row r="6">
      <c r="A6" s="9" t="n">
        <v>5</v>
      </c>
      <c r="B6" s="9" t="inlineStr">
        <is>
          <t>mar/27</t>
        </is>
      </c>
      <c r="C6" s="9" t="n">
        <v>3</v>
      </c>
      <c r="D6" s="9" t="inlineStr">
        <is>
          <t>2 · + venda direta</t>
        </is>
      </c>
      <c r="E6" s="10" t="n">
        <v>0.04</v>
      </c>
      <c r="F6" s="11">
        <f>INDEX(Saz,C6)</f>
        <v/>
      </c>
      <c r="G6" s="12">
        <f>ROUND(Pot*E6*F6/500,0)*500</f>
        <v/>
      </c>
      <c r="H6" s="12">
        <f>G6*Marg</f>
        <v/>
      </c>
      <c r="I6" s="12">
        <f>IF(OR(A6&lt;AdsIni,G6=0),0,IF(A6&lt;=PisoAte,MAX(G6*AdsP,Piso),G6*AdsP))</f>
        <v/>
      </c>
      <c r="J6" s="12">
        <f>IF(A6&lt;=Parc,Setup/Parc,0)</f>
        <v/>
      </c>
      <c r="K6" s="12">
        <f>IF(A6&lt;=MesesA,MensA,MensB)</f>
        <v/>
      </c>
      <c r="L6" s="12">
        <f>IF(G6&gt;Gat,(G6-Gat)*VarP,0)</f>
        <v/>
      </c>
      <c r="M6" s="12">
        <f>J6+K6+L6</f>
        <v/>
      </c>
      <c r="N6" s="12">
        <f>H6-I6-M6</f>
        <v/>
      </c>
      <c r="O6" s="12">
        <f>O5+N6</f>
        <v/>
      </c>
    </row>
    <row r="7">
      <c r="A7" s="9" t="n">
        <v>6</v>
      </c>
      <c r="B7" s="9" t="inlineStr">
        <is>
          <t>abr/27</t>
        </is>
      </c>
      <c r="C7" s="9" t="n">
        <v>4</v>
      </c>
      <c r="D7" s="9" t="inlineStr">
        <is>
          <t>2 · + venda direta</t>
        </is>
      </c>
      <c r="E7" s="10" t="n">
        <v>0.08</v>
      </c>
      <c r="F7" s="11">
        <f>INDEX(Saz,C7)</f>
        <v/>
      </c>
      <c r="G7" s="12">
        <f>ROUND(Pot*E7*F7/500,0)*500</f>
        <v/>
      </c>
      <c r="H7" s="12">
        <f>G7*Marg</f>
        <v/>
      </c>
      <c r="I7" s="12">
        <f>IF(OR(A7&lt;AdsIni,G7=0),0,IF(A7&lt;=PisoAte,MAX(G7*AdsP,Piso),G7*AdsP))</f>
        <v/>
      </c>
      <c r="J7" s="12">
        <f>IF(A7&lt;=Parc,Setup/Parc,0)</f>
        <v/>
      </c>
      <c r="K7" s="12">
        <f>IF(A7&lt;=MesesA,MensA,MensB)</f>
        <v/>
      </c>
      <c r="L7" s="12">
        <f>IF(G7&gt;Gat,(G7-Gat)*VarP,0)</f>
        <v/>
      </c>
      <c r="M7" s="12">
        <f>J7+K7+L7</f>
        <v/>
      </c>
      <c r="N7" s="12">
        <f>H7-I7-M7</f>
        <v/>
      </c>
      <c r="O7" s="12">
        <f>O6+N7</f>
        <v/>
      </c>
    </row>
    <row r="8">
      <c r="A8" s="9" t="n">
        <v>7</v>
      </c>
      <c r="B8" s="9" t="inlineStr">
        <is>
          <t>mai/27</t>
        </is>
      </c>
      <c r="C8" s="9" t="n">
        <v>5</v>
      </c>
      <c r="D8" s="9" t="inlineStr">
        <is>
          <t>2 · + venda direta</t>
        </is>
      </c>
      <c r="E8" s="10" t="n">
        <v>0.13</v>
      </c>
      <c r="F8" s="11">
        <f>INDEX(Saz,C8)</f>
        <v/>
      </c>
      <c r="G8" s="12">
        <f>ROUND(Pot*E8*F8/500,0)*500</f>
        <v/>
      </c>
      <c r="H8" s="12">
        <f>G8*Marg</f>
        <v/>
      </c>
      <c r="I8" s="12">
        <f>IF(OR(A8&lt;AdsIni,G8=0),0,IF(A8&lt;=PisoAte,MAX(G8*AdsP,Piso),G8*AdsP))</f>
        <v/>
      </c>
      <c r="J8" s="12">
        <f>IF(A8&lt;=Parc,Setup/Parc,0)</f>
        <v/>
      </c>
      <c r="K8" s="12">
        <f>IF(A8&lt;=MesesA,MensA,MensB)</f>
        <v/>
      </c>
      <c r="L8" s="12">
        <f>IF(G8&gt;Gat,(G8-Gat)*VarP,0)</f>
        <v/>
      </c>
      <c r="M8" s="12">
        <f>J8+K8+L8</f>
        <v/>
      </c>
      <c r="N8" s="12">
        <f>H8-I8-M8</f>
        <v/>
      </c>
      <c r="O8" s="12">
        <f>O7+N8</f>
        <v/>
      </c>
    </row>
    <row r="9">
      <c r="A9" s="9" t="n">
        <v>8</v>
      </c>
      <c r="B9" s="9" t="inlineStr">
        <is>
          <t>jun/27</t>
        </is>
      </c>
      <c r="C9" s="9" t="n">
        <v>6</v>
      </c>
      <c r="D9" s="9" t="inlineStr">
        <is>
          <t>2 · + venda direta</t>
        </is>
      </c>
      <c r="E9" s="10" t="n">
        <v>0.2</v>
      </c>
      <c r="F9" s="11">
        <f>INDEX(Saz,C9)</f>
        <v/>
      </c>
      <c r="G9" s="12">
        <f>ROUND(Pot*E9*F9/500,0)*500</f>
        <v/>
      </c>
      <c r="H9" s="12">
        <f>G9*Marg</f>
        <v/>
      </c>
      <c r="I9" s="12">
        <f>IF(OR(A9&lt;AdsIni,G9=0),0,IF(A9&lt;=PisoAte,MAX(G9*AdsP,Piso),G9*AdsP))</f>
        <v/>
      </c>
      <c r="J9" s="12">
        <f>IF(A9&lt;=Parc,Setup/Parc,0)</f>
        <v/>
      </c>
      <c r="K9" s="12">
        <f>IF(A9&lt;=MesesA,MensA,MensB)</f>
        <v/>
      </c>
      <c r="L9" s="12">
        <f>IF(G9&gt;Gat,(G9-Gat)*VarP,0)</f>
        <v/>
      </c>
      <c r="M9" s="12">
        <f>J9+K9+L9</f>
        <v/>
      </c>
      <c r="N9" s="12">
        <f>H9-I9-M9</f>
        <v/>
      </c>
      <c r="O9" s="12">
        <f>O8+N9</f>
        <v/>
      </c>
    </row>
    <row r="10">
      <c r="A10" s="9" t="n">
        <v>9</v>
      </c>
      <c r="B10" s="9" t="inlineStr">
        <is>
          <t>jul/27</t>
        </is>
      </c>
      <c r="C10" s="9" t="n">
        <v>7</v>
      </c>
      <c r="D10" s="9" t="inlineStr">
        <is>
          <t>2 · + venda direta</t>
        </is>
      </c>
      <c r="E10" s="10" t="n">
        <v>0.28</v>
      </c>
      <c r="F10" s="11">
        <f>INDEX(Saz,C10)</f>
        <v/>
      </c>
      <c r="G10" s="12">
        <f>ROUND(Pot*E10*F10/500,0)*500</f>
        <v/>
      </c>
      <c r="H10" s="12">
        <f>G10*Marg</f>
        <v/>
      </c>
      <c r="I10" s="12">
        <f>IF(OR(A10&lt;AdsIni,G10=0),0,IF(A10&lt;=PisoAte,MAX(G10*AdsP,Piso),G10*AdsP))</f>
        <v/>
      </c>
      <c r="J10" s="12">
        <f>IF(A10&lt;=Parc,Setup/Parc,0)</f>
        <v/>
      </c>
      <c r="K10" s="12">
        <f>IF(A10&lt;=MesesA,MensA,MensB)</f>
        <v/>
      </c>
      <c r="L10" s="12">
        <f>IF(G10&gt;Gat,(G10-Gat)*VarP,0)</f>
        <v/>
      </c>
      <c r="M10" s="12">
        <f>J10+K10+L10</f>
        <v/>
      </c>
      <c r="N10" s="12">
        <f>H10-I10-M10</f>
        <v/>
      </c>
      <c r="O10" s="12">
        <f>O9+N10</f>
        <v/>
      </c>
    </row>
    <row r="11">
      <c r="A11" s="9" t="n">
        <v>10</v>
      </c>
      <c r="B11" s="9" t="inlineStr">
        <is>
          <t>ago/27</t>
        </is>
      </c>
      <c r="C11" s="9" t="n">
        <v>8</v>
      </c>
      <c r="D11" s="9" t="inlineStr">
        <is>
          <t>2 · + venda direta</t>
        </is>
      </c>
      <c r="E11" s="10" t="n">
        <v>0.38</v>
      </c>
      <c r="F11" s="11">
        <f>INDEX(Saz,C11)</f>
        <v/>
      </c>
      <c r="G11" s="12">
        <f>ROUND(Pot*E11*F11/500,0)*500</f>
        <v/>
      </c>
      <c r="H11" s="12">
        <f>G11*Marg</f>
        <v/>
      </c>
      <c r="I11" s="12">
        <f>IF(OR(A11&lt;AdsIni,G11=0),0,IF(A11&lt;=PisoAte,MAX(G11*AdsP,Piso),G11*AdsP))</f>
        <v/>
      </c>
      <c r="J11" s="12">
        <f>IF(A11&lt;=Parc,Setup/Parc,0)</f>
        <v/>
      </c>
      <c r="K11" s="12">
        <f>IF(A11&lt;=MesesA,MensA,MensB)</f>
        <v/>
      </c>
      <c r="L11" s="12">
        <f>IF(G11&gt;Gat,(G11-Gat)*VarP,0)</f>
        <v/>
      </c>
      <c r="M11" s="12">
        <f>J11+K11+L11</f>
        <v/>
      </c>
      <c r="N11" s="12">
        <f>H11-I11-M11</f>
        <v/>
      </c>
      <c r="O11" s="12">
        <f>O10+N11</f>
        <v/>
      </c>
    </row>
    <row r="12">
      <c r="A12" s="9" t="n">
        <v>11</v>
      </c>
      <c r="B12" s="9" t="inlineStr">
        <is>
          <t>set/27</t>
        </is>
      </c>
      <c r="C12" s="9" t="n">
        <v>9</v>
      </c>
      <c r="D12" s="9" t="inlineStr">
        <is>
          <t>2 · + venda direta</t>
        </is>
      </c>
      <c r="E12" s="10" t="n">
        <v>0.48</v>
      </c>
      <c r="F12" s="11">
        <f>INDEX(Saz,C12)</f>
        <v/>
      </c>
      <c r="G12" s="12">
        <f>ROUND(Pot*E12*F12/500,0)*500</f>
        <v/>
      </c>
      <c r="H12" s="12">
        <f>G12*Marg</f>
        <v/>
      </c>
      <c r="I12" s="12">
        <f>IF(OR(A12&lt;AdsIni,G12=0),0,IF(A12&lt;=PisoAte,MAX(G12*AdsP,Piso),G12*AdsP))</f>
        <v/>
      </c>
      <c r="J12" s="12">
        <f>IF(A12&lt;=Parc,Setup/Parc,0)</f>
        <v/>
      </c>
      <c r="K12" s="12">
        <f>IF(A12&lt;=MesesA,MensA,MensB)</f>
        <v/>
      </c>
      <c r="L12" s="12">
        <f>IF(G12&gt;Gat,(G12-Gat)*VarP,0)</f>
        <v/>
      </c>
      <c r="M12" s="12">
        <f>J12+K12+L12</f>
        <v/>
      </c>
      <c r="N12" s="12">
        <f>H12-I12-M12</f>
        <v/>
      </c>
      <c r="O12" s="12">
        <f>O11+N12</f>
        <v/>
      </c>
    </row>
    <row r="13">
      <c r="A13" s="9" t="n">
        <v>12</v>
      </c>
      <c r="B13" s="9" t="inlineStr">
        <is>
          <t>out/27</t>
        </is>
      </c>
      <c r="C13" s="9" t="n">
        <v>10</v>
      </c>
      <c r="D13" s="9" t="inlineStr">
        <is>
          <t>2 · + venda direta</t>
        </is>
      </c>
      <c r="E13" s="10" t="n">
        <v>0.58</v>
      </c>
      <c r="F13" s="11">
        <f>INDEX(Saz,C13)</f>
        <v/>
      </c>
      <c r="G13" s="12">
        <f>ROUND(Pot*E13*F13/500,0)*500</f>
        <v/>
      </c>
      <c r="H13" s="12">
        <f>G13*Marg</f>
        <v/>
      </c>
      <c r="I13" s="12">
        <f>IF(OR(A13&lt;AdsIni,G13=0),0,IF(A13&lt;=PisoAte,MAX(G13*AdsP,Piso),G13*AdsP))</f>
        <v/>
      </c>
      <c r="J13" s="12">
        <f>IF(A13&lt;=Parc,Setup/Parc,0)</f>
        <v/>
      </c>
      <c r="K13" s="12">
        <f>IF(A13&lt;=MesesA,MensA,MensB)</f>
        <v/>
      </c>
      <c r="L13" s="12">
        <f>IF(G13&gt;Gat,(G13-Gat)*VarP,0)</f>
        <v/>
      </c>
      <c r="M13" s="12">
        <f>J13+K13+L13</f>
        <v/>
      </c>
      <c r="N13" s="12">
        <f>H13-I13-M13</f>
        <v/>
      </c>
      <c r="O13" s="12">
        <f>O12+N13</f>
        <v/>
      </c>
    </row>
    <row r="14">
      <c r="A14" s="9" t="n">
        <v>13</v>
      </c>
      <c r="B14" s="9" t="inlineStr">
        <is>
          <t>nov/27</t>
        </is>
      </c>
      <c r="C14" s="9" t="n">
        <v>11</v>
      </c>
      <c r="D14" s="9" t="inlineStr">
        <is>
          <t>2 · + venda direta</t>
        </is>
      </c>
      <c r="E14" s="10" t="n">
        <v>0.65</v>
      </c>
      <c r="F14" s="11">
        <f>INDEX(Saz,C14)</f>
        <v/>
      </c>
      <c r="G14" s="12">
        <f>ROUND(Pot*E14*F14/500,0)*500</f>
        <v/>
      </c>
      <c r="H14" s="12">
        <f>G14*Marg</f>
        <v/>
      </c>
      <c r="I14" s="12">
        <f>IF(OR(A14&lt;AdsIni,G14=0),0,IF(A14&lt;=PisoAte,MAX(G14*AdsP,Piso),G14*AdsP))</f>
        <v/>
      </c>
      <c r="J14" s="12">
        <f>IF(A14&lt;=Parc,Setup/Parc,0)</f>
        <v/>
      </c>
      <c r="K14" s="12">
        <f>IF(A14&lt;=MesesA,MensA,MensB)</f>
        <v/>
      </c>
      <c r="L14" s="12">
        <f>IF(G14&gt;Gat,(G14-Gat)*VarP,0)</f>
        <v/>
      </c>
      <c r="M14" s="12">
        <f>J14+K14+L14</f>
        <v/>
      </c>
      <c r="N14" s="12">
        <f>H14-I14-M14</f>
        <v/>
      </c>
      <c r="O14" s="12">
        <f>O13+N14</f>
        <v/>
      </c>
    </row>
    <row r="15">
      <c r="A15" s="9" t="n">
        <v>14</v>
      </c>
      <c r="B15" s="9" t="inlineStr">
        <is>
          <t>dez/27</t>
        </is>
      </c>
      <c r="C15" s="9" t="n">
        <v>12</v>
      </c>
      <c r="D15" s="9" t="inlineStr">
        <is>
          <t>2 · + venda direta</t>
        </is>
      </c>
      <c r="E15" s="10" t="n">
        <v>0.74</v>
      </c>
      <c r="F15" s="11">
        <f>INDEX(Saz,C15)</f>
        <v/>
      </c>
      <c r="G15" s="12">
        <f>ROUND(Pot*E15*F15/500,0)*500</f>
        <v/>
      </c>
      <c r="H15" s="12">
        <f>G15*Marg</f>
        <v/>
      </c>
      <c r="I15" s="12">
        <f>IF(OR(A15&lt;AdsIni,G15=0),0,IF(A15&lt;=PisoAte,MAX(G15*AdsP,Piso),G15*AdsP))</f>
        <v/>
      </c>
      <c r="J15" s="12">
        <f>IF(A15&lt;=Parc,Setup/Parc,0)</f>
        <v/>
      </c>
      <c r="K15" s="12">
        <f>IF(A15&lt;=MesesA,MensA,MensB)</f>
        <v/>
      </c>
      <c r="L15" s="12">
        <f>IF(G15&gt;Gat,(G15-Gat)*VarP,0)</f>
        <v/>
      </c>
      <c r="M15" s="12">
        <f>J15+K15+L15</f>
        <v/>
      </c>
      <c r="N15" s="12">
        <f>H15-I15-M15</f>
        <v/>
      </c>
      <c r="O15" s="12">
        <f>O14+N15</f>
        <v/>
      </c>
    </row>
    <row r="16">
      <c r="A16" s="9" t="n">
        <v>15</v>
      </c>
      <c r="B16" s="9" t="inlineStr">
        <is>
          <t>jan/28</t>
        </is>
      </c>
      <c r="C16" s="9" t="n">
        <v>1</v>
      </c>
      <c r="D16" s="9" t="inlineStr">
        <is>
          <t>2 · + venda direta</t>
        </is>
      </c>
      <c r="E16" s="10" t="n">
        <v>0.8100000000000001</v>
      </c>
      <c r="F16" s="11">
        <f>INDEX(Saz,C16)</f>
        <v/>
      </c>
      <c r="G16" s="12">
        <f>ROUND(Pot*E16*F16/500,0)*500</f>
        <v/>
      </c>
      <c r="H16" s="12">
        <f>G16*Marg</f>
        <v/>
      </c>
      <c r="I16" s="12">
        <f>IF(OR(A16&lt;AdsIni,G16=0),0,IF(A16&lt;=PisoAte,MAX(G16*AdsP,Piso),G16*AdsP))</f>
        <v/>
      </c>
      <c r="J16" s="12">
        <f>IF(A16&lt;=Parc,Setup/Parc,0)</f>
        <v/>
      </c>
      <c r="K16" s="12">
        <f>IF(A16&lt;=MesesA,MensA,MensB)</f>
        <v/>
      </c>
      <c r="L16" s="12">
        <f>IF(G16&gt;Gat,(G16-Gat)*VarP,0)</f>
        <v/>
      </c>
      <c r="M16" s="12">
        <f>J16+K16+L16</f>
        <v/>
      </c>
      <c r="N16" s="12">
        <f>H16-I16-M16</f>
        <v/>
      </c>
      <c r="O16" s="12">
        <f>O15+N16</f>
        <v/>
      </c>
    </row>
    <row r="17">
      <c r="A17" s="9" t="n">
        <v>16</v>
      </c>
      <c r="B17" s="9" t="inlineStr">
        <is>
          <t>fev/28</t>
        </is>
      </c>
      <c r="C17" s="9" t="n">
        <v>2</v>
      </c>
      <c r="D17" s="9" t="inlineStr">
        <is>
          <t>2 · + venda direta</t>
        </is>
      </c>
      <c r="E17" s="10" t="n">
        <v>0.86</v>
      </c>
      <c r="F17" s="11">
        <f>INDEX(Saz,C17)</f>
        <v/>
      </c>
      <c r="G17" s="12">
        <f>ROUND(Pot*E17*F17/500,0)*500</f>
        <v/>
      </c>
      <c r="H17" s="12">
        <f>G17*Marg</f>
        <v/>
      </c>
      <c r="I17" s="12">
        <f>IF(OR(A17&lt;AdsIni,G17=0),0,IF(A17&lt;=PisoAte,MAX(G17*AdsP,Piso),G17*AdsP))</f>
        <v/>
      </c>
      <c r="J17" s="12">
        <f>IF(A17&lt;=Parc,Setup/Parc,0)</f>
        <v/>
      </c>
      <c r="K17" s="12">
        <f>IF(A17&lt;=MesesA,MensA,MensB)</f>
        <v/>
      </c>
      <c r="L17" s="12">
        <f>IF(G17&gt;Gat,(G17-Gat)*VarP,0)</f>
        <v/>
      </c>
      <c r="M17" s="12">
        <f>J17+K17+L17</f>
        <v/>
      </c>
      <c r="N17" s="12">
        <f>H17-I17-M17</f>
        <v/>
      </c>
      <c r="O17" s="12">
        <f>O16+N17</f>
        <v/>
      </c>
    </row>
    <row r="18">
      <c r="A18" s="9" t="n">
        <v>17</v>
      </c>
      <c r="B18" s="9" t="inlineStr">
        <is>
          <t>mar/28</t>
        </is>
      </c>
      <c r="C18" s="9" t="n">
        <v>3</v>
      </c>
      <c r="D18" s="9" t="inlineStr">
        <is>
          <t>2 · + venda direta</t>
        </is>
      </c>
      <c r="E18" s="10" t="n">
        <v>0.9</v>
      </c>
      <c r="F18" s="11">
        <f>INDEX(Saz,C18)</f>
        <v/>
      </c>
      <c r="G18" s="12">
        <f>ROUND(Pot*E18*F18/500,0)*500</f>
        <v/>
      </c>
      <c r="H18" s="12">
        <f>G18*Marg</f>
        <v/>
      </c>
      <c r="I18" s="12">
        <f>IF(OR(A18&lt;AdsIni,G18=0),0,IF(A18&lt;=PisoAte,MAX(G18*AdsP,Piso),G18*AdsP))</f>
        <v/>
      </c>
      <c r="J18" s="12">
        <f>IF(A18&lt;=Parc,Setup/Parc,0)</f>
        <v/>
      </c>
      <c r="K18" s="12">
        <f>IF(A18&lt;=MesesA,MensA,MensB)</f>
        <v/>
      </c>
      <c r="L18" s="12">
        <f>IF(G18&gt;Gat,(G18-Gat)*VarP,0)</f>
        <v/>
      </c>
      <c r="M18" s="12">
        <f>J18+K18+L18</f>
        <v/>
      </c>
      <c r="N18" s="12">
        <f>H18-I18-M18</f>
        <v/>
      </c>
      <c r="O18" s="12">
        <f>O17+N18</f>
        <v/>
      </c>
    </row>
    <row r="19">
      <c r="A19" s="9" t="n">
        <v>18</v>
      </c>
      <c r="B19" s="9" t="inlineStr">
        <is>
          <t>abr/28</t>
        </is>
      </c>
      <c r="C19" s="9" t="n">
        <v>4</v>
      </c>
      <c r="D19" s="9" t="inlineStr">
        <is>
          <t>2 · + venda direta</t>
        </is>
      </c>
      <c r="E19" s="10" t="n">
        <v>0.9399999999999999</v>
      </c>
      <c r="F19" s="11">
        <f>INDEX(Saz,C19)</f>
        <v/>
      </c>
      <c r="G19" s="12">
        <f>ROUND(Pot*E19*F19/500,0)*500</f>
        <v/>
      </c>
      <c r="H19" s="12">
        <f>G19*Marg</f>
        <v/>
      </c>
      <c r="I19" s="12">
        <f>IF(OR(A19&lt;AdsIni,G19=0),0,IF(A19&lt;=PisoAte,MAX(G19*AdsP,Piso),G19*AdsP))</f>
        <v/>
      </c>
      <c r="J19" s="12">
        <f>IF(A19&lt;=Parc,Setup/Parc,0)</f>
        <v/>
      </c>
      <c r="K19" s="12">
        <f>IF(A19&lt;=MesesA,MensA,MensB)</f>
        <v/>
      </c>
      <c r="L19" s="12">
        <f>IF(G19&gt;Gat,(G19-Gat)*VarP,0)</f>
        <v/>
      </c>
      <c r="M19" s="12">
        <f>J19+K19+L19</f>
        <v/>
      </c>
      <c r="N19" s="12">
        <f>H19-I19-M19</f>
        <v/>
      </c>
      <c r="O19" s="12">
        <f>O18+N19</f>
        <v/>
      </c>
    </row>
    <row r="20">
      <c r="A20" s="9" t="n">
        <v>19</v>
      </c>
      <c r="B20" s="9" t="inlineStr">
        <is>
          <t>mai/28</t>
        </is>
      </c>
      <c r="C20" s="9" t="n">
        <v>5</v>
      </c>
      <c r="D20" s="9" t="inlineStr">
        <is>
          <t>2 · + venda direta</t>
        </is>
      </c>
      <c r="E20" s="10" t="n">
        <v>0.97</v>
      </c>
      <c r="F20" s="11">
        <f>INDEX(Saz,C20)</f>
        <v/>
      </c>
      <c r="G20" s="12">
        <f>ROUND(Pot*E20*F20/500,0)*500</f>
        <v/>
      </c>
      <c r="H20" s="12">
        <f>G20*Marg</f>
        <v/>
      </c>
      <c r="I20" s="12">
        <f>IF(OR(A20&lt;AdsIni,G20=0),0,IF(A20&lt;=PisoAte,MAX(G20*AdsP,Piso),G20*AdsP))</f>
        <v/>
      </c>
      <c r="J20" s="12">
        <f>IF(A20&lt;=Parc,Setup/Parc,0)</f>
        <v/>
      </c>
      <c r="K20" s="12">
        <f>IF(A20&lt;=MesesA,MensA,MensB)</f>
        <v/>
      </c>
      <c r="L20" s="12">
        <f>IF(G20&gt;Gat,(G20-Gat)*VarP,0)</f>
        <v/>
      </c>
      <c r="M20" s="12">
        <f>J20+K20+L20</f>
        <v/>
      </c>
      <c r="N20" s="12">
        <f>H20-I20-M20</f>
        <v/>
      </c>
      <c r="O20" s="12">
        <f>O19+N20</f>
        <v/>
      </c>
    </row>
    <row r="21">
      <c r="A21" s="9" t="n">
        <v>20</v>
      </c>
      <c r="B21" s="9" t="inlineStr">
        <is>
          <t>jun/28</t>
        </is>
      </c>
      <c r="C21" s="9" t="n">
        <v>6</v>
      </c>
      <c r="D21" s="9" t="inlineStr">
        <is>
          <t>2 · + venda direta</t>
        </is>
      </c>
      <c r="E21" s="10" t="n">
        <v>1</v>
      </c>
      <c r="F21" s="11">
        <f>INDEX(Saz,C21)</f>
        <v/>
      </c>
      <c r="G21" s="12">
        <f>ROUND(Pot*E21*F21/500,0)*500</f>
        <v/>
      </c>
      <c r="H21" s="12">
        <f>G21*Marg</f>
        <v/>
      </c>
      <c r="I21" s="12">
        <f>IF(OR(A21&lt;AdsIni,G21=0),0,IF(A21&lt;=PisoAte,MAX(G21*AdsP,Piso),G21*AdsP))</f>
        <v/>
      </c>
      <c r="J21" s="12">
        <f>IF(A21&lt;=Parc,Setup/Parc,0)</f>
        <v/>
      </c>
      <c r="K21" s="12">
        <f>IF(A21&lt;=MesesA,MensA,MensB)</f>
        <v/>
      </c>
      <c r="L21" s="12">
        <f>IF(G21&gt;Gat,(G21-Gat)*VarP,0)</f>
        <v/>
      </c>
      <c r="M21" s="12">
        <f>J21+K21+L21</f>
        <v/>
      </c>
      <c r="N21" s="12">
        <f>H21-I21-M21</f>
        <v/>
      </c>
      <c r="O21" s="12">
        <f>O20+N21</f>
        <v/>
      </c>
    </row>
    <row r="22">
      <c r="A22" s="9" t="n">
        <v>21</v>
      </c>
      <c r="B22" s="9" t="inlineStr">
        <is>
          <t>jul/28</t>
        </is>
      </c>
      <c r="C22" s="9" t="n">
        <v>7</v>
      </c>
      <c r="D22" s="9" t="inlineStr">
        <is>
          <t>2 · + venda direta</t>
        </is>
      </c>
      <c r="E22" s="10" t="n">
        <v>1</v>
      </c>
      <c r="F22" s="11">
        <f>INDEX(Saz,C22)</f>
        <v/>
      </c>
      <c r="G22" s="12">
        <f>ROUND(Pot*E22*F22/500,0)*500</f>
        <v/>
      </c>
      <c r="H22" s="12">
        <f>G22*Marg</f>
        <v/>
      </c>
      <c r="I22" s="12">
        <f>IF(OR(A22&lt;AdsIni,G22=0),0,IF(A22&lt;=PisoAte,MAX(G22*AdsP,Piso),G22*AdsP))</f>
        <v/>
      </c>
      <c r="J22" s="12">
        <f>IF(A22&lt;=Parc,Setup/Parc,0)</f>
        <v/>
      </c>
      <c r="K22" s="12">
        <f>IF(A22&lt;=MesesA,MensA,MensB)</f>
        <v/>
      </c>
      <c r="L22" s="12">
        <f>IF(G22&gt;Gat,(G22-Gat)*VarP,0)</f>
        <v/>
      </c>
      <c r="M22" s="12">
        <f>J22+K22+L22</f>
        <v/>
      </c>
      <c r="N22" s="12">
        <f>H22-I22-M22</f>
        <v/>
      </c>
      <c r="O22" s="12">
        <f>O21+N22</f>
        <v/>
      </c>
    </row>
    <row r="23">
      <c r="A23" s="9" t="n">
        <v>22</v>
      </c>
      <c r="B23" s="9" t="inlineStr">
        <is>
          <t>ago/28</t>
        </is>
      </c>
      <c r="C23" s="9" t="n">
        <v>8</v>
      </c>
      <c r="D23" s="9" t="inlineStr">
        <is>
          <t>2 · + venda direta</t>
        </is>
      </c>
      <c r="E23" s="10" t="n">
        <v>1</v>
      </c>
      <c r="F23" s="11">
        <f>INDEX(Saz,C23)</f>
        <v/>
      </c>
      <c r="G23" s="12">
        <f>ROUND(Pot*E23*F23/500,0)*500</f>
        <v/>
      </c>
      <c r="H23" s="12">
        <f>G23*Marg</f>
        <v/>
      </c>
      <c r="I23" s="12">
        <f>IF(OR(A23&lt;AdsIni,G23=0),0,IF(A23&lt;=PisoAte,MAX(G23*AdsP,Piso),G23*AdsP))</f>
        <v/>
      </c>
      <c r="J23" s="12">
        <f>IF(A23&lt;=Parc,Setup/Parc,0)</f>
        <v/>
      </c>
      <c r="K23" s="12">
        <f>IF(A23&lt;=MesesA,MensA,MensB)</f>
        <v/>
      </c>
      <c r="L23" s="12">
        <f>IF(G23&gt;Gat,(G23-Gat)*VarP,0)</f>
        <v/>
      </c>
      <c r="M23" s="12">
        <f>J23+K23+L23</f>
        <v/>
      </c>
      <c r="N23" s="12">
        <f>H23-I23-M23</f>
        <v/>
      </c>
      <c r="O23" s="12">
        <f>O22+N23</f>
        <v/>
      </c>
    </row>
    <row r="24">
      <c r="A24" s="9" t="n">
        <v>23</v>
      </c>
      <c r="B24" s="9" t="inlineStr">
        <is>
          <t>set/28</t>
        </is>
      </c>
      <c r="C24" s="9" t="n">
        <v>9</v>
      </c>
      <c r="D24" s="9" t="inlineStr">
        <is>
          <t>2 · + venda direta</t>
        </is>
      </c>
      <c r="E24" s="10" t="n">
        <v>1</v>
      </c>
      <c r="F24" s="11">
        <f>INDEX(Saz,C24)</f>
        <v/>
      </c>
      <c r="G24" s="12">
        <f>ROUND(Pot*E24*F24/500,0)*500</f>
        <v/>
      </c>
      <c r="H24" s="12">
        <f>G24*Marg</f>
        <v/>
      </c>
      <c r="I24" s="12">
        <f>IF(OR(A24&lt;AdsIni,G24=0),0,IF(A24&lt;=PisoAte,MAX(G24*AdsP,Piso),G24*AdsP))</f>
        <v/>
      </c>
      <c r="J24" s="12">
        <f>IF(A24&lt;=Parc,Setup/Parc,0)</f>
        <v/>
      </c>
      <c r="K24" s="12">
        <f>IF(A24&lt;=MesesA,MensA,MensB)</f>
        <v/>
      </c>
      <c r="L24" s="12">
        <f>IF(G24&gt;Gat,(G24-Gat)*VarP,0)</f>
        <v/>
      </c>
      <c r="M24" s="12">
        <f>J24+K24+L24</f>
        <v/>
      </c>
      <c r="N24" s="12">
        <f>H24-I24-M24</f>
        <v/>
      </c>
      <c r="O24" s="12">
        <f>O23+N24</f>
        <v/>
      </c>
    </row>
    <row r="25">
      <c r="A25" s="9" t="n">
        <v>24</v>
      </c>
      <c r="B25" s="9" t="inlineStr">
        <is>
          <t>out/28</t>
        </is>
      </c>
      <c r="C25" s="9" t="n">
        <v>10</v>
      </c>
      <c r="D25" s="9" t="inlineStr">
        <is>
          <t>2 · + venda direta</t>
        </is>
      </c>
      <c r="E25" s="10" t="n">
        <v>1</v>
      </c>
      <c r="F25" s="11">
        <f>INDEX(Saz,C25)</f>
        <v/>
      </c>
      <c r="G25" s="12">
        <f>ROUND(Pot*E25*F25/500,0)*500</f>
        <v/>
      </c>
      <c r="H25" s="12">
        <f>G25*Marg</f>
        <v/>
      </c>
      <c r="I25" s="12">
        <f>IF(OR(A25&lt;AdsIni,G25=0),0,IF(A25&lt;=PisoAte,MAX(G25*AdsP,Piso),G25*AdsP))</f>
        <v/>
      </c>
      <c r="J25" s="12">
        <f>IF(A25&lt;=Parc,Setup/Parc,0)</f>
        <v/>
      </c>
      <c r="K25" s="12">
        <f>IF(A25&lt;=MesesA,MensA,MensB)</f>
        <v/>
      </c>
      <c r="L25" s="12">
        <f>IF(G25&gt;Gat,(G25-Gat)*VarP,0)</f>
        <v/>
      </c>
      <c r="M25" s="12">
        <f>J25+K25+L25</f>
        <v/>
      </c>
      <c r="N25" s="12">
        <f>H25-I25-M25</f>
        <v/>
      </c>
      <c r="O25" s="12">
        <f>O24+N25</f>
        <v/>
      </c>
    </row>
    <row r="26">
      <c r="A26" s="9" t="n">
        <v>25</v>
      </c>
      <c r="B26" s="9" t="inlineStr">
        <is>
          <t>nov/28</t>
        </is>
      </c>
      <c r="C26" s="9" t="n">
        <v>11</v>
      </c>
      <c r="D26" s="9" t="inlineStr">
        <is>
          <t>2 · + venda direta</t>
        </is>
      </c>
      <c r="E26" s="10" t="n">
        <v>1</v>
      </c>
      <c r="F26" s="11">
        <f>INDEX(Saz,C26)</f>
        <v/>
      </c>
      <c r="G26" s="12">
        <f>ROUND(Pot*E26*F26/500,0)*500</f>
        <v/>
      </c>
      <c r="H26" s="12">
        <f>G26*Marg</f>
        <v/>
      </c>
      <c r="I26" s="12">
        <f>IF(OR(A26&lt;AdsIni,G26=0),0,IF(A26&lt;=PisoAte,MAX(G26*AdsP,Piso),G26*AdsP))</f>
        <v/>
      </c>
      <c r="J26" s="12">
        <f>IF(A26&lt;=Parc,Setup/Parc,0)</f>
        <v/>
      </c>
      <c r="K26" s="12">
        <f>IF(A26&lt;=MesesA,MensA,MensB)</f>
        <v/>
      </c>
      <c r="L26" s="12">
        <f>IF(G26&gt;Gat,(G26-Gat)*VarP,0)</f>
        <v/>
      </c>
      <c r="M26" s="12">
        <f>J26+K26+L26</f>
        <v/>
      </c>
      <c r="N26" s="12">
        <f>H26-I26-M26</f>
        <v/>
      </c>
      <c r="O26" s="12">
        <f>O25+N26</f>
        <v/>
      </c>
    </row>
    <row r="28">
      <c r="A28" s="3" t="inlineStr">
        <is>
          <t>Pior momento do caixa</t>
        </is>
      </c>
      <c r="G28" s="13">
        <f>MIN(O2:O26)</f>
        <v/>
      </c>
    </row>
    <row r="29">
      <c r="A29" s="3" t="inlineStr">
        <is>
          <t>Acumulado no fim do horizonte</t>
        </is>
      </c>
      <c r="G29" s="13">
        <f>O26</f>
        <v/>
      </c>
    </row>
    <row r="30">
      <c r="A30" s="3" t="inlineStr">
        <is>
          <t>Primeiro mês com acumulado positivo</t>
        </is>
      </c>
      <c r="G30">
        <f>IFERROR(INDEX(B2:B26,MATCH(TRUE,INDEX(O2:O26&gt;0,0),0)),"fora do horizonte")</f>
        <v/>
      </c>
    </row>
    <row r="32">
      <c r="A32" s="2" t="inlineStr">
        <is>
          <t>A maturação (coluna E) é editável: os 3 primeiros meses são Fase 1, sem venda direta.</t>
        </is>
      </c>
    </row>
    <row r="33">
      <c r="A33" s="2" t="inlineStr">
        <is>
          <t>A venda da rede de revendedores e eventuais pedidos 1P da Amazon não entram nesta conta.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2026-10-14T18:01:16Z</dcterms:created>
  <dcterms:modified xmlns:dcterms="http://purl.org/dc/terms/" xmlns:xsi="http://www.w3.org/2001/XMLSchema-instance" xsi:type="dcterms:W3CDTF">2026-10-14T18:01:16Z</dcterms:modified>
</cp:coreProperties>
</file>