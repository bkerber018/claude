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ia-me" sheetId="1" state="visible" r:id="rId1"/>
    <sheet name="Vendedores" sheetId="2" state="visible" r:id="rId2"/>
    <sheet name="ASINs StillPet" sheetId="3" state="visible" r:id="rId3"/>
    <sheet name="Erros de cadastro" sheetId="4" state="visible" r:id="rId4"/>
    <sheet name="Benchmark" sheetId="5" state="visible" r:id="rId5"/>
    <sheet name="Buscas" sheetId="6" state="visible" r:id="rId6"/>
    <sheet name="Dispersao de preco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0&quot;x&quot;"/>
  </numFmts>
  <fonts count="8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i val="1"/>
      <color rgb="00595959"/>
      <sz val="9"/>
    </font>
    <font>
      <name val="Arial"/>
      <b val="1"/>
      <sz val="10"/>
    </font>
    <font>
      <name val="Arial"/>
      <sz val="10"/>
    </font>
    <font>
      <name val="Arial"/>
      <b val="1"/>
      <color rgb="00C00000"/>
      <sz val="10"/>
    </font>
    <font>
      <name val="Arial"/>
      <b val="1"/>
      <color rgb="00FFFFFF"/>
      <sz val="10"/>
    </font>
    <font>
      <name val="Arial"/>
      <b val="1"/>
      <color rgb="009C5700"/>
      <sz val="10"/>
    </font>
  </fonts>
  <fills count="7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FFC7CE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pivotButton="0" quotePrefix="0" xfId="0"/>
    <xf numFmtId="0" fontId="4" fillId="2" borderId="0" applyAlignment="1" pivotButton="0" quotePrefix="0" xfId="0">
      <alignment vertical="top" wrapText="1"/>
    </xf>
    <xf numFmtId="0" fontId="4" fillId="0" borderId="0" pivotButton="0" quotePrefix="0" xfId="0"/>
    <xf numFmtId="0" fontId="6" fillId="3" borderId="1" applyAlignment="1" pivotButton="0" quotePrefix="0" xfId="0">
      <alignment vertical="center" wrapText="1"/>
    </xf>
    <xf numFmtId="0" fontId="4" fillId="4" borderId="1" applyAlignment="1" pivotButton="0" quotePrefix="0" xfId="0">
      <alignment vertical="top"/>
    </xf>
    <xf numFmtId="0" fontId="4" fillId="4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/>
    </xf>
    <xf numFmtId="0" fontId="4" fillId="0" borderId="1" applyAlignment="1" pivotButton="0" quotePrefix="0" xfId="0">
      <alignment vertical="top" wrapText="1"/>
    </xf>
    <xf numFmtId="4" fontId="4" fillId="4" borderId="1" applyAlignment="1" pivotButton="0" quotePrefix="0" xfId="0">
      <alignment vertical="top"/>
    </xf>
    <xf numFmtId="4" fontId="4" fillId="0" borderId="1" applyAlignment="1" pivotButton="0" quotePrefix="0" xfId="0">
      <alignment vertical="top"/>
    </xf>
    <xf numFmtId="0" fontId="5" fillId="5" borderId="1" applyAlignment="1" pivotButton="0" quotePrefix="0" xfId="0">
      <alignment horizontal="center" vertical="top"/>
    </xf>
    <xf numFmtId="0" fontId="7" fillId="6" borderId="1" applyAlignment="1" pivotButton="0" quotePrefix="0" xfId="0">
      <alignment horizontal="center" vertical="top"/>
    </xf>
    <xf numFmtId="0" fontId="4" fillId="0" borderId="1" applyAlignment="1" pivotButton="0" quotePrefix="0" xfId="0">
      <alignment horizontal="center" vertical="top"/>
    </xf>
    <xf numFmtId="0" fontId="4" fillId="4" borderId="1" applyAlignment="1" pivotButton="0" quotePrefix="0" xfId="0">
      <alignment horizontal="center" vertical="top"/>
    </xf>
    <xf numFmtId="4" fontId="4" fillId="0" borderId="0" pivotButton="0" quotePrefix="0" xfId="0"/>
    <xf numFmtId="4" fontId="5" fillId="0" borderId="0" pivotButton="0" quotePrefix="0" xfId="0"/>
    <xf numFmtId="164" fontId="5" fillId="0" borderId="0" pivotButton="0" quotePrefix="0" xfId="0"/>
    <xf numFmtId="165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25"/>
  <sheetViews>
    <sheetView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100" customWidth="1" min="3" max="3"/>
  </cols>
  <sheetData>
    <row r="2">
      <c r="B2" s="1" t="inlineStr">
        <is>
          <t>StillPet / Tudo Pet - Planilha de evidencias | Amazon Brasil</t>
        </is>
      </c>
    </row>
    <row r="3">
      <c r="B3" s="2" t="inlineStr">
        <is>
          <t>Fase 1 do diagnostico de canal - impulsio</t>
        </is>
      </c>
    </row>
    <row r="5">
      <c r="B5" s="3" t="inlineStr">
        <is>
          <t>Data de captura</t>
        </is>
      </c>
      <c r="C5" s="4" t="inlineStr">
        <is>
          <t>23/09/2026</t>
        </is>
      </c>
    </row>
    <row r="6">
      <c r="B6" s="3" t="inlineStr">
        <is>
          <t>Canal</t>
        </is>
      </c>
      <c r="C6" s="4" t="inlineStr">
        <is>
          <t>Amazon.com.br</t>
        </is>
      </c>
    </row>
    <row r="7">
      <c r="B7" s="3" t="inlineStr">
        <is>
          <t>CEP de referencia</t>
        </is>
      </c>
      <c r="C7" s="4" t="inlineStr">
        <is>
          <t>12244000 - Sao Jose dos Campos/SP</t>
        </is>
      </c>
    </row>
    <row r="8">
      <c r="B8" s="3" t="inlineStr">
        <is>
          <t>Metodo</t>
        </is>
      </c>
      <c r="C8" s="4" t="inlineStr">
        <is>
          <t>Captura de tela do operador + WebSearch. JoomPulse NAO cobre Amazon; WebFetch em dominio Amazon e bloqueado.</t>
        </is>
      </c>
    </row>
    <row r="9">
      <c r="B9" s="3" t="inlineStr">
        <is>
          <t>Marcas rastreadas</t>
        </is>
      </c>
      <c r="C9" s="4" t="inlineStr">
        <is>
          <t>Tudo Pet (151 resultados no filtro de marca) | Still Pet | Quick Pet (aparece em embalagem)</t>
        </is>
      </c>
    </row>
    <row r="10">
      <c r="B10" s="3" t="inlineStr">
        <is>
          <t>Validade</t>
        </is>
      </c>
      <c r="C10" s="4" t="inlineStr">
        <is>
          <t>Refazer as buscas na vespera da apresentacao. O cliente refaz a busca na frente do operador.</t>
        </is>
      </c>
    </row>
    <row r="12">
      <c r="B12" s="5" t="inlineStr">
        <is>
          <t>REGRA DA CASA</t>
        </is>
      </c>
      <c r="C12" s="6" t="inlineStr">
        <is>
          <t>Todo numero desta planilha veio de print datado. Nenhuma linha e estimativa da impulsio apresentada como fato. Celulas marcadas 'n/d' nao foram capturadas - NAO preencher por deducao.</t>
        </is>
      </c>
    </row>
    <row r="14">
      <c r="B14" s="5" t="inlineStr">
        <is>
          <t>LIMITES DO QUE FOI VERIFICADO</t>
        </is>
      </c>
    </row>
    <row r="15" ht="28" customHeight="1">
      <c r="C15" s="4" t="inlineStr">
        <is>
          <t>- O filtro de marca 'Tudo Pet' devolve 151 resultados. NAO foi verificado quantos desses sao 1P (Amazon) e quantos sao 3P.</t>
        </is>
      </c>
    </row>
    <row r="16" ht="28" customHeight="1">
      <c r="C16" s="4" t="inlineStr">
        <is>
          <t>- '19 resultados' para 'still pet' e busca por TEXTO, nao contagem de marca - inclui concorrentes patrocinados. A contagem real de ASINs sob a marca Still Pet ainda nao foi capturada.</t>
        </is>
      </c>
    </row>
    <row r="17" ht="28" customHeight="1">
      <c r="C17" s="4" t="inlineStr">
        <is>
          <t>- Na busca generica, foram vistos os 48 primeiros de mais de 2.000. Nao se pode afirmar ausencia em toda a busca - apenas nos 48 primeiros e entre as marcas que a Amazon destaca no filtro.</t>
        </is>
      </c>
    </row>
    <row r="18" ht="28" customHeight="1">
      <c r="C18" s="4" t="inlineStr">
        <is>
          <t>- Na Bica Pedra existem '+2 ofertas'. NAO foi verificado se a Amazon 1P e uma delas nem a que preco.</t>
        </is>
      </c>
    </row>
    <row r="20">
      <c r="B20" s="3" t="inlineStr">
        <is>
          <t>ABAS</t>
        </is>
      </c>
    </row>
    <row r="21">
      <c r="B21" s="7" t="inlineStr">
        <is>
          <t>Vendedores</t>
        </is>
      </c>
      <c r="C21" s="7" t="inlineStr">
        <is>
          <t>Quem anuncia o catalogo da marca na Amazon hoje</t>
        </is>
      </c>
    </row>
    <row r="22">
      <c r="B22" s="7" t="inlineStr">
        <is>
          <t>ASINs StillPet</t>
        </is>
      </c>
      <c r="C22" s="7" t="inlineStr">
        <is>
          <t>O catalogo documentado: preco, vendedor, estoque, avaliacoes, categoria</t>
        </is>
      </c>
    </row>
    <row r="23">
      <c r="B23" s="7" t="inlineStr">
        <is>
          <t>Erros de cadastro</t>
        </is>
      </c>
      <c r="C23" s="7" t="inlineStr">
        <is>
          <t>Lista acionavel, priorizada por impacto - insumo do plano da Fase 1</t>
        </is>
      </c>
    </row>
    <row r="24">
      <c r="B24" s="7" t="inlineStr">
        <is>
          <t>Benchmark</t>
        </is>
      </c>
      <c r="C24" s="7" t="inlineStr">
        <is>
          <t>Quem ocupa as buscas da categoria e a que preco</t>
        </is>
      </c>
    </row>
    <row r="25">
      <c r="B25" s="7" t="inlineStr">
        <is>
          <t>Buscas</t>
        </is>
      </c>
      <c r="C25" s="7" t="inlineStr">
        <is>
          <t>Termos capturados, volume de resultados e onde a marca aparece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E1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" customWidth="1" min="1" max="1"/>
    <col width="32" customWidth="1" min="2" max="2"/>
    <col width="12" customWidth="1" min="3" max="3"/>
    <col width="38" customWidth="1" min="4" max="4"/>
    <col width="52" customWidth="1" min="5" max="5"/>
  </cols>
  <sheetData>
    <row r="2">
      <c r="B2" s="1" t="inlineStr">
        <is>
          <t>Vendedores no catalogo da marca Tudo Pet</t>
        </is>
      </c>
    </row>
    <row r="3">
      <c r="B3" s="2" t="inlineStr">
        <is>
          <t>Fonte: filtro lateral "Vendido por", pagina da marca Tudo Pet, Amazon.com.br, 23/09/2026</t>
        </is>
      </c>
    </row>
    <row r="5">
      <c r="A5" s="8" t="inlineStr"/>
      <c r="B5" s="8" t="inlineStr">
        <is>
          <t>Vendedor</t>
        </is>
      </c>
      <c r="C5" s="8" t="inlineStr">
        <is>
          <t>Modalidade</t>
        </is>
      </c>
      <c r="D5" s="8" t="inlineStr">
        <is>
          <t>O que e</t>
        </is>
      </c>
      <c r="E5" s="8" t="inlineStr">
        <is>
          <t>Evidencia capturada</t>
        </is>
      </c>
    </row>
    <row r="6" ht="30" customHeight="1">
      <c r="A6" s="9" t="inlineStr"/>
      <c r="B6" s="9" t="inlineStr">
        <is>
          <t>Amazon.com.br</t>
        </is>
      </c>
      <c r="C6" s="9" t="inlineStr">
        <is>
          <t>1P</t>
        </is>
      </c>
      <c r="D6" s="10" t="inlineStr">
        <is>
          <t>Compra da StillPet desde 2019</t>
        </is>
      </c>
      <c r="E6" s="10" t="inlineStr">
        <is>
          <t>Buy Box em Coleira Estampas, Bebedouro Passaros, Comedouro Oval, Limpaquarium, Anel Macico, Comedouro Gato 100ml</t>
        </is>
      </c>
    </row>
    <row r="7" ht="30" customHeight="1">
      <c r="A7" s="11" t="inlineStr"/>
      <c r="B7" s="11" t="inlineStr">
        <is>
          <t>Cobasi - Essencial para a vida</t>
        </is>
      </c>
      <c r="C7" s="11" t="inlineStr">
        <is>
          <t>3P</t>
        </is>
      </c>
      <c r="D7" s="12" t="inlineStr">
        <is>
          <t>Grande rede varejista - cliente da Quick</t>
        </is>
      </c>
      <c r="E7" s="12" t="inlineStr">
        <is>
          <t>Ganha a Buy Box da Bica Pedra Calopsitas, que tem selo Escolha da Amazon</t>
        </is>
      </c>
    </row>
    <row r="8" ht="30" customHeight="1">
      <c r="A8" s="9" t="inlineStr"/>
      <c r="B8" s="9" t="inlineStr">
        <is>
          <t>Emporio Animal</t>
        </is>
      </c>
      <c r="C8" s="9" t="inlineStr">
        <is>
          <t>3P</t>
        </is>
      </c>
      <c r="D8" s="10" t="inlineStr">
        <is>
          <t>Revendedor</t>
        </is>
      </c>
      <c r="E8" s="10" t="inlineStr">
        <is>
          <t>Ganha a Buy Box do Bebedouro Hamster Drink Mouse 120ml</t>
        </is>
      </c>
    </row>
    <row r="9" ht="30" customHeight="1">
      <c r="A9" s="11" t="inlineStr"/>
      <c r="B9" s="11" t="inlineStr">
        <is>
          <t>Only Fish</t>
        </is>
      </c>
      <c r="C9" s="11" t="inlineStr">
        <is>
          <t>3P</t>
        </is>
      </c>
      <c r="D9" s="12" t="inlineStr">
        <is>
          <t>Especialista em aquarismo</t>
        </is>
      </c>
      <c r="E9" s="12" t="inlineStr">
        <is>
          <t>Listado no filtro de vendedores da marca</t>
        </is>
      </c>
    </row>
    <row r="10" ht="30" customHeight="1">
      <c r="A10" s="9" t="inlineStr"/>
      <c r="B10" s="9" t="inlineStr">
        <is>
          <t>Paraiso dos passaros</t>
        </is>
      </c>
      <c r="C10" s="9" t="inlineStr">
        <is>
          <t>3P</t>
        </is>
      </c>
      <c r="D10" s="10" t="inlineStr">
        <is>
          <t>Especialista em aves</t>
        </is>
      </c>
      <c r="E10" s="10" t="inlineStr">
        <is>
          <t>Listado no filtro de vendedores da marca</t>
        </is>
      </c>
    </row>
    <row r="12">
      <c r="B12" s="5" t="inlineStr">
        <is>
          <t>TOTAL: 5 vendedores. 1 e a Amazon, que compra da StillPet. Os outros 4 chegaram sozinhos.</t>
        </is>
      </c>
    </row>
    <row r="14">
      <c r="B14" s="6" t="inlineStr">
        <is>
          <t>LEITURA: Only Fish e Paraiso dos passaros sao especialistas de categoria e ocupam justamente as duas linhas de nicho da fabrica (aquarismo e aves). A rede fatiou o catalogo por categoria. A organizacao existe - so nao e da marca.</t>
        </is>
      </c>
    </row>
    <row r="15"/>
  </sheetData>
  <mergeCells count="2">
    <mergeCell ref="B14:E15"/>
    <mergeCell ref="B12:E1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J4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" customWidth="1" min="1" max="1"/>
    <col width="52" customWidth="1" min="2" max="2"/>
    <col width="11" customWidth="1" min="3" max="3"/>
    <col width="11" customWidth="1" min="4" max="4"/>
    <col width="22" customWidth="1" min="5" max="5"/>
    <col width="16" customWidth="1" min="6" max="6"/>
    <col width="9" customWidth="1" min="7" max="7"/>
    <col width="8" customWidth="1" min="8" max="8"/>
    <col width="34" customWidth="1" min="9" max="9"/>
    <col width="20" customWidth="1" min="10" max="10"/>
  </cols>
  <sheetData>
    <row r="2">
      <c r="B2" s="1" t="inlineStr">
        <is>
          <t>Catalogo StillPet documentado na Amazon Brasil</t>
        </is>
      </c>
    </row>
    <row r="3">
      <c r="B3" s="2" t="inlineStr">
        <is>
          <t>Fonte: prints da pagina de marca e das fichas de produto, Amazon.com.br, 23/09/2026. 'n/d' = nao capturado.</t>
        </is>
      </c>
    </row>
    <row r="5">
      <c r="A5" s="8" t="inlineStr"/>
      <c r="B5" s="8" t="inlineStr">
        <is>
          <t>Produto</t>
        </is>
      </c>
      <c r="C5" s="8" t="inlineStr">
        <is>
          <t>Marca cadastrada</t>
        </is>
      </c>
      <c r="D5" s="8" t="inlineStr">
        <is>
          <t>Preco (R$)</t>
        </is>
      </c>
      <c r="E5" s="8" t="inlineStr">
        <is>
          <t>Vendedor (Buy Box)</t>
        </is>
      </c>
      <c r="F5" s="8" t="inlineStr">
        <is>
          <t>Estoque</t>
        </is>
      </c>
      <c r="G5" s="8" t="inlineStr">
        <is>
          <t>Avaliacoes</t>
        </is>
      </c>
      <c r="H5" s="8" t="inlineStr">
        <is>
          <t>Nota</t>
        </is>
      </c>
      <c r="I5" s="8" t="inlineStr">
        <is>
          <t>Categoria (breadcrumb)</t>
        </is>
      </c>
      <c r="J5" s="8" t="inlineStr">
        <is>
          <t>Selo / observacao</t>
        </is>
      </c>
    </row>
    <row r="6" ht="28" customHeight="1">
      <c r="A6" s="9" t="inlineStr"/>
      <c r="B6" s="10" t="inlineStr">
        <is>
          <t>Coleira P/Gato Elastico Estampas e Cores Variadas</t>
        </is>
      </c>
      <c r="C6" s="9" t="inlineStr">
        <is>
          <t>Tudo Pet</t>
        </is>
      </c>
      <c r="D6" s="13" t="n">
        <v>13.81</v>
      </c>
      <c r="E6" s="9" t="inlineStr">
        <is>
          <t>Amazon.com.br</t>
        </is>
      </c>
      <c r="F6" s="9" t="inlineStr">
        <is>
          <t>Em estoque</t>
        </is>
      </c>
      <c r="G6" s="9" t="n">
        <v>842</v>
      </c>
      <c r="H6" s="9" t="n">
        <v>4.2</v>
      </c>
      <c r="I6" s="10" t="inlineStr">
        <is>
          <t>Gatos &gt; Antipulgas e Carrapatos &gt; Coleiras Antipulgas</t>
        </is>
      </c>
      <c r="J6" s="10" t="inlineStr">
        <is>
          <t>Escolha da Amazon</t>
        </is>
      </c>
    </row>
    <row r="7" ht="28" customHeight="1">
      <c r="A7" s="11" t="inlineStr"/>
      <c r="B7" s="12" t="inlineStr">
        <is>
          <t>Coleira P/Gato Elastico Con Guizo</t>
        </is>
      </c>
      <c r="C7" s="11" t="inlineStr">
        <is>
          <t>Tudo Pet</t>
        </is>
      </c>
      <c r="D7" s="14" t="n">
        <v>12.07</v>
      </c>
      <c r="E7" s="11" t="inlineStr">
        <is>
          <t>Amazon.com.br</t>
        </is>
      </c>
      <c r="F7" s="11" t="inlineStr">
        <is>
          <t>Em estoque</t>
        </is>
      </c>
      <c r="G7" s="11" t="n">
        <v>156</v>
      </c>
      <c r="H7" s="11" t="n">
        <v>4.2</v>
      </c>
      <c r="I7" s="12" t="inlineStr">
        <is>
          <t>Gatos &gt; Roupas</t>
        </is>
      </c>
      <c r="J7" s="12" t="inlineStr">
        <is>
          <t>Preco exibido por kg</t>
        </is>
      </c>
    </row>
    <row r="8" ht="28" customHeight="1">
      <c r="A8" s="9" t="inlineStr"/>
      <c r="B8" s="10" t="inlineStr">
        <is>
          <t>Comedouro Oval com 4 Furos p/ Passaros, Gigante</t>
        </is>
      </c>
      <c r="C8" s="9" t="inlineStr">
        <is>
          <t>Tudo Pet</t>
        </is>
      </c>
      <c r="D8" s="13" t="n">
        <v>9.359999999999999</v>
      </c>
      <c r="E8" s="9" t="inlineStr">
        <is>
          <t>Amazon.com.br</t>
        </is>
      </c>
      <c r="F8" s="9" t="inlineStr">
        <is>
          <t>Sob encomenda</t>
        </is>
      </c>
      <c r="G8" s="9" t="n">
        <v>18</v>
      </c>
      <c r="H8" s="9" t="n">
        <v>4.7</v>
      </c>
      <c r="I8" s="10" t="inlineStr">
        <is>
          <t>Aves e Passaros &gt; Comedouros</t>
        </is>
      </c>
      <c r="J8" s="10" t="inlineStr">
        <is>
          <t>Material declarado: 'Madeira ou Plastico'</t>
        </is>
      </c>
    </row>
    <row r="9" ht="28" customHeight="1">
      <c r="A9" s="11" t="inlineStr"/>
      <c r="B9" s="12" t="inlineStr">
        <is>
          <t>Bica Pedra Peq. para Passaros Calopsitas</t>
        </is>
      </c>
      <c r="C9" s="11" t="inlineStr">
        <is>
          <t>Tudo Pet</t>
        </is>
      </c>
      <c r="D9" s="14" t="n">
        <v>12.99</v>
      </c>
      <c r="E9" s="11" t="inlineStr">
        <is>
          <t>Cobasi</t>
        </is>
      </c>
      <c r="F9" s="11" t="inlineStr">
        <is>
          <t>Em estoque</t>
        </is>
      </c>
      <c r="G9" s="11" t="n">
        <v>64</v>
      </c>
      <c r="H9" s="11" t="n">
        <v>4.7</v>
      </c>
      <c r="I9" s="12" t="inlineStr">
        <is>
          <t>Aves e Passaros &gt; Brinquedos</t>
        </is>
      </c>
      <c r="J9" s="12" t="inlineStr">
        <is>
          <t>Escolha da Amazon | frete R$5,90 | +2 ofertas</t>
        </is>
      </c>
    </row>
    <row r="10" ht="28" customHeight="1">
      <c r="A10" s="9" t="inlineStr"/>
      <c r="B10" s="10" t="inlineStr">
        <is>
          <t>Bebedouro Grande para Passaros</t>
        </is>
      </c>
      <c r="C10" s="9" t="inlineStr">
        <is>
          <t>Tudo Pet</t>
        </is>
      </c>
      <c r="D10" s="13" t="n">
        <v>18.32</v>
      </c>
      <c r="E10" s="9" t="inlineStr">
        <is>
          <t>Amazon.com.br</t>
        </is>
      </c>
      <c r="F10" s="9" t="inlineStr">
        <is>
          <t>Em estoque</t>
        </is>
      </c>
      <c r="G10" s="9" t="n">
        <v>29</v>
      </c>
      <c r="H10" s="9" t="n">
        <v>3.7</v>
      </c>
      <c r="I10" s="10" t="inlineStr">
        <is>
          <t>Aves e Passaros &gt; Comedouros</t>
        </is>
      </c>
      <c r="J10" s="10" t="inlineStr">
        <is>
          <t>2a oferta: Emporio Animal R$11,25 (-39%), FBA, 368 aval / 95% positivas</t>
        </is>
      </c>
    </row>
    <row r="11" ht="28" customHeight="1">
      <c r="A11" s="11" t="inlineStr"/>
      <c r="B11" s="12" t="inlineStr">
        <is>
          <t>Bebedouro Beija-Flor Monsenhor 300ml</t>
        </is>
      </c>
      <c r="C11" s="11" t="inlineStr">
        <is>
          <t>Tudo Pet</t>
        </is>
      </c>
      <c r="D11" s="14" t="n">
        <v>26.05</v>
      </c>
      <c r="E11" s="11" t="inlineStr">
        <is>
          <t>n/d</t>
        </is>
      </c>
      <c r="F11" s="11" t="inlineStr">
        <is>
          <t>Somente 1</t>
        </is>
      </c>
      <c r="G11" s="11" t="n">
        <v>23</v>
      </c>
      <c r="H11" s="11" t="n">
        <v>3.8</v>
      </c>
      <c r="I11" s="12" t="inlineStr">
        <is>
          <t>n/d</t>
        </is>
      </c>
      <c r="J11" s="12" t="inlineStr"/>
    </row>
    <row r="12" ht="28" customHeight="1">
      <c r="A12" s="9" t="inlineStr"/>
      <c r="B12" s="10" t="inlineStr">
        <is>
          <t>Comedouro e Bebedouro Pesado Filhote Grande 450ml Rosa</t>
        </is>
      </c>
      <c r="C12" s="9" t="inlineStr">
        <is>
          <t>Tudo Pet</t>
        </is>
      </c>
      <c r="D12" s="13" t="n">
        <v>34.9</v>
      </c>
      <c r="E12" s="9" t="inlineStr">
        <is>
          <t>SEM BUY BOX</t>
        </is>
      </c>
      <c r="F12" s="9" t="inlineStr">
        <is>
          <t>n/d</t>
        </is>
      </c>
      <c r="G12" s="9" t="n">
        <v>182</v>
      </c>
      <c r="H12" s="9" t="n">
        <v>4.8</v>
      </c>
      <c r="I12" s="10" t="inlineStr">
        <is>
          <t>n/d</t>
        </is>
      </c>
      <c r="J12" s="10" t="inlineStr">
        <is>
          <t>'Nenhuma opcao de compra em destaque'</t>
        </is>
      </c>
    </row>
    <row r="13" ht="28" customHeight="1">
      <c r="A13" s="11" t="inlineStr"/>
      <c r="B13" s="12" t="inlineStr">
        <is>
          <t>Comedouro Papagaio para Passaros</t>
        </is>
      </c>
      <c r="C13" s="11" t="inlineStr">
        <is>
          <t>Tudo Pet</t>
        </is>
      </c>
      <c r="D13" s="14" t="n">
        <v>13.53</v>
      </c>
      <c r="E13" s="11" t="inlineStr">
        <is>
          <t>n/d</t>
        </is>
      </c>
      <c r="F13" s="11" t="inlineStr">
        <is>
          <t>Somente 2</t>
        </is>
      </c>
      <c r="G13" s="11" t="n">
        <v>20</v>
      </c>
      <c r="H13" s="11" t="n">
        <v>3.9</v>
      </c>
      <c r="I13" s="12" t="inlineStr">
        <is>
          <t>n/d</t>
        </is>
      </c>
      <c r="J13" s="12" t="inlineStr"/>
    </row>
    <row r="14" ht="28" customHeight="1">
      <c r="A14" s="9" t="inlineStr"/>
      <c r="B14" s="10" t="inlineStr">
        <is>
          <t>Ninho de Madeira Pinus Calopsyta 'Para Caes'</t>
        </is>
      </c>
      <c r="C14" s="9" t="inlineStr">
        <is>
          <t>Tudo Pet</t>
        </is>
      </c>
      <c r="D14" s="13" t="n">
        <v>39.9</v>
      </c>
      <c r="E14" s="9" t="inlineStr">
        <is>
          <t>n/d</t>
        </is>
      </c>
      <c r="F14" s="9" t="inlineStr">
        <is>
          <t>Somente 6</t>
        </is>
      </c>
      <c r="G14" s="9" t="n">
        <v>12</v>
      </c>
      <c r="H14" s="9" t="n">
        <v>4.6</v>
      </c>
      <c r="I14" s="10" t="inlineStr">
        <is>
          <t>n/d</t>
        </is>
      </c>
      <c r="J14" s="10" t="inlineStr">
        <is>
          <t>Titulo diz 'Para Caes' - e ninho de ave</t>
        </is>
      </c>
    </row>
    <row r="15" ht="28" customHeight="1">
      <c r="A15" s="11" t="inlineStr"/>
      <c r="B15" s="12" t="inlineStr">
        <is>
          <t>Comedouro e Bebedouro Pesado Mini Gato 150ml Vermelho</t>
        </is>
      </c>
      <c r="C15" s="11" t="inlineStr">
        <is>
          <t>Tudo Pet</t>
        </is>
      </c>
      <c r="D15" s="14" t="n">
        <v>28.66</v>
      </c>
      <c r="E15" s="11" t="inlineStr">
        <is>
          <t>n/d</t>
        </is>
      </c>
      <c r="F15" s="11" t="inlineStr">
        <is>
          <t>Sob encomenda</t>
        </is>
      </c>
      <c r="G15" s="11" t="n">
        <v>1</v>
      </c>
      <c r="H15" s="11" t="n">
        <v>5</v>
      </c>
      <c r="I15" s="12" t="inlineStr">
        <is>
          <t>n/d</t>
        </is>
      </c>
      <c r="J15" s="12" t="inlineStr">
        <is>
          <t>Selo 'Still Pet' no molde do produto</t>
        </is>
      </c>
    </row>
    <row r="16" ht="28" customHeight="1">
      <c r="A16" s="9" t="inlineStr"/>
      <c r="B16" s="10" t="inlineStr">
        <is>
          <t>Limpa Facil Mini para Peixes</t>
        </is>
      </c>
      <c r="C16" s="9" t="inlineStr">
        <is>
          <t>Tudo Pet</t>
        </is>
      </c>
      <c r="D16" s="13" t="n">
        <v>22.83</v>
      </c>
      <c r="E16" s="9" t="inlineStr">
        <is>
          <t>n/d</t>
        </is>
      </c>
      <c r="F16" s="9" t="inlineStr">
        <is>
          <t>n/d</t>
        </is>
      </c>
      <c r="G16" s="9" t="n">
        <v>57</v>
      </c>
      <c r="H16" s="9" t="n">
        <v>3.6</v>
      </c>
      <c r="I16" s="10" t="inlineStr">
        <is>
          <t>n/d</t>
        </is>
      </c>
      <c r="J16" s="10" t="inlineStr"/>
    </row>
    <row r="17" ht="28" customHeight="1">
      <c r="A17" s="11" t="inlineStr"/>
      <c r="B17" s="12" t="inlineStr">
        <is>
          <t>Bebedouro Cacula para Passaros</t>
        </is>
      </c>
      <c r="C17" s="11" t="inlineStr">
        <is>
          <t>Tudo Pet</t>
        </is>
      </c>
      <c r="D17" s="14" t="n">
        <v>8.4</v>
      </c>
      <c r="E17" s="11" t="inlineStr">
        <is>
          <t>n/d</t>
        </is>
      </c>
      <c r="F17" s="11" t="inlineStr">
        <is>
          <t>n/d</t>
        </is>
      </c>
      <c r="G17" s="11" t="n">
        <v>5</v>
      </c>
      <c r="H17" s="11" t="n">
        <v>3.5</v>
      </c>
      <c r="I17" s="12" t="inlineStr">
        <is>
          <t>n/d</t>
        </is>
      </c>
      <c r="J17" s="12" t="inlineStr"/>
    </row>
    <row r="18" ht="28" customHeight="1">
      <c r="A18" s="9" t="inlineStr"/>
      <c r="B18" s="10" t="inlineStr">
        <is>
          <t>Comedouro e Bebedouro Pesado Medio 1500ml Azul</t>
        </is>
      </c>
      <c r="C18" s="9" t="inlineStr">
        <is>
          <t>Tudo Pet</t>
        </is>
      </c>
      <c r="D18" s="13" t="n"/>
      <c r="E18" s="9" t="inlineStr">
        <is>
          <t>n/d</t>
        </is>
      </c>
      <c r="F18" s="9" t="inlineStr">
        <is>
          <t>n/d</t>
        </is>
      </c>
      <c r="G18" s="9" t="n">
        <v>210</v>
      </c>
      <c r="H18" s="9" t="n">
        <v>4.7</v>
      </c>
      <c r="I18" s="10" t="inlineStr">
        <is>
          <t>n/d</t>
        </is>
      </c>
      <c r="J18" s="10" t="inlineStr">
        <is>
          <t>Selo 'Still Pet' no molde do produto</t>
        </is>
      </c>
    </row>
    <row r="19" ht="28" customHeight="1">
      <c r="A19" s="11" t="inlineStr"/>
      <c r="B19" s="12" t="inlineStr">
        <is>
          <t>Comedouro e Bebedouro Pesado Grande 2500ml Vermelho</t>
        </is>
      </c>
      <c r="C19" s="11" t="inlineStr">
        <is>
          <t>Tudo Pet</t>
        </is>
      </c>
      <c r="D19" s="14" t="n"/>
      <c r="E19" s="11" t="inlineStr">
        <is>
          <t>n/d</t>
        </is>
      </c>
      <c r="F19" s="11" t="inlineStr">
        <is>
          <t>n/d</t>
        </is>
      </c>
      <c r="G19" s="11" t="n">
        <v>7</v>
      </c>
      <c r="H19" s="11" t="n">
        <v>5</v>
      </c>
      <c r="I19" s="12" t="inlineStr">
        <is>
          <t>n/d</t>
        </is>
      </c>
      <c r="J19" s="12" t="inlineStr">
        <is>
          <t>Selo 'Still Pet' no molde do produto</t>
        </is>
      </c>
    </row>
    <row r="20" ht="28" customHeight="1">
      <c r="A20" s="9" t="inlineStr"/>
      <c r="B20" s="10" t="inlineStr">
        <is>
          <t>Compressor de Ar 5W 110V Maxxi Power para Peixes</t>
        </is>
      </c>
      <c r="C20" s="9" t="inlineStr">
        <is>
          <t>Tudo Pet</t>
        </is>
      </c>
      <c r="D20" s="13" t="n"/>
      <c r="E20" s="9" t="inlineStr">
        <is>
          <t>n/d</t>
        </is>
      </c>
      <c r="F20" s="9" t="inlineStr">
        <is>
          <t>n/d</t>
        </is>
      </c>
      <c r="G20" s="9" t="n">
        <v>10</v>
      </c>
      <c r="H20" s="9" t="n">
        <v>4.6</v>
      </c>
      <c r="I20" s="10" t="inlineStr">
        <is>
          <t>n/d</t>
        </is>
      </c>
      <c r="J20" s="10" t="inlineStr">
        <is>
          <t>Marca de terceiro (Maxxi) sob Tudo Pet</t>
        </is>
      </c>
    </row>
    <row r="21" ht="28" customHeight="1">
      <c r="A21" s="11" t="inlineStr"/>
      <c r="B21" s="12" t="inlineStr">
        <is>
          <t>Refil Filtro HF 0600 para Peixes</t>
        </is>
      </c>
      <c r="C21" s="11" t="inlineStr">
        <is>
          <t>Tudo Pet</t>
        </is>
      </c>
      <c r="D21" s="14" t="n">
        <v>35.9</v>
      </c>
      <c r="E21" s="11" t="inlineStr">
        <is>
          <t>n/d</t>
        </is>
      </c>
      <c r="F21" s="11" t="inlineStr">
        <is>
          <t>Somente 1</t>
        </is>
      </c>
      <c r="G21" s="11" t="n">
        <v>4</v>
      </c>
      <c r="H21" s="11" t="n">
        <v>5</v>
      </c>
      <c r="I21" s="12" t="inlineStr">
        <is>
          <t>n/d</t>
        </is>
      </c>
      <c r="J21" s="12" t="inlineStr">
        <is>
          <t>Marca de terceiro (HF) sob Tudo Pet</t>
        </is>
      </c>
    </row>
    <row r="22" ht="28" customHeight="1">
      <c r="A22" s="9" t="inlineStr"/>
      <c r="B22" s="10" t="inlineStr">
        <is>
          <t>Bebedouro Plastico Hamster Drink Mouse Inox 120ml</t>
        </is>
      </c>
      <c r="C22" s="9" t="inlineStr">
        <is>
          <t>Tudo Pet</t>
        </is>
      </c>
      <c r="D22" s="13" t="n">
        <v>19.9</v>
      </c>
      <c r="E22" s="9" t="inlineStr">
        <is>
          <t>Emporio Animal</t>
        </is>
      </c>
      <c r="F22" s="9" t="inlineStr">
        <is>
          <t>Somente 7</t>
        </is>
      </c>
      <c r="G22" s="9" t="n">
        <v>35</v>
      </c>
      <c r="H22" s="9" t="n">
        <v>4.4</v>
      </c>
      <c r="I22" s="10" t="inlineStr">
        <is>
          <t>Roedores e Pequenos Animais</t>
        </is>
      </c>
      <c r="J22" s="10" t="inlineStr">
        <is>
          <t>CNPJ 56.640.212/0001-98 na embalagem | peso '10 g'</t>
        </is>
      </c>
    </row>
    <row r="23" ht="28" customHeight="1">
      <c r="A23" s="11" t="inlineStr"/>
      <c r="B23" s="12" t="inlineStr">
        <is>
          <t>Divisor 02 Saidas para Peixes</t>
        </is>
      </c>
      <c r="C23" s="11" t="inlineStr">
        <is>
          <t>Tudo Pet</t>
        </is>
      </c>
      <c r="D23" s="14" t="n">
        <v>29.13</v>
      </c>
      <c r="E23" s="11" t="inlineStr">
        <is>
          <t>n/d</t>
        </is>
      </c>
      <c r="F23" s="11" t="inlineStr">
        <is>
          <t>Sob encomenda</t>
        </is>
      </c>
      <c r="G23" s="11" t="n">
        <v>5</v>
      </c>
      <c r="H23" s="11" t="n">
        <v>4.6</v>
      </c>
      <c r="I23" s="12" t="inlineStr">
        <is>
          <t>n/d</t>
        </is>
      </c>
      <c r="J23" s="12" t="inlineStr"/>
    </row>
    <row r="24" ht="28" customHeight="1">
      <c r="A24" s="9" t="inlineStr"/>
      <c r="B24" s="10" t="inlineStr">
        <is>
          <t>Limpador de Esponja No 1 para Peixes</t>
        </is>
      </c>
      <c r="C24" s="9" t="inlineStr">
        <is>
          <t>Tudo Pet</t>
        </is>
      </c>
      <c r="D24" s="13" t="n">
        <v>26.76</v>
      </c>
      <c r="E24" s="9" t="inlineStr">
        <is>
          <t>n/d</t>
        </is>
      </c>
      <c r="F24" s="9" t="inlineStr">
        <is>
          <t>Sob encomenda</t>
        </is>
      </c>
      <c r="G24" s="9" t="n">
        <v>56</v>
      </c>
      <c r="H24" s="9" t="n">
        <v>4.1</v>
      </c>
      <c r="I24" s="10" t="inlineStr">
        <is>
          <t>n/d</t>
        </is>
      </c>
      <c r="J24" s="10" t="inlineStr"/>
    </row>
    <row r="25" ht="28" customHeight="1">
      <c r="A25" s="11" t="inlineStr"/>
      <c r="B25" s="12" t="inlineStr">
        <is>
          <t>Mangueira Aquario Silicone Rolo 2m</t>
        </is>
      </c>
      <c r="C25" s="11" t="inlineStr">
        <is>
          <t>Tudo Pet</t>
        </is>
      </c>
      <c r="D25" s="14" t="n">
        <v>17.5</v>
      </c>
      <c r="E25" s="11" t="inlineStr">
        <is>
          <t>n/d</t>
        </is>
      </c>
      <c r="F25" s="11" t="inlineStr">
        <is>
          <t>Somente 8</t>
        </is>
      </c>
      <c r="G25" s="11" t="n">
        <v>97</v>
      </c>
      <c r="H25" s="11" t="n">
        <v>4.4</v>
      </c>
      <c r="I25" s="12" t="inlineStr">
        <is>
          <t>n/d</t>
        </is>
      </c>
      <c r="J25" s="12" t="inlineStr"/>
    </row>
    <row r="26" ht="28" customHeight="1">
      <c r="A26" s="9" t="inlineStr"/>
      <c r="B26" s="10" t="inlineStr">
        <is>
          <t>Compressor de Ar 2,5W 220V Maxxi Power para Peixes</t>
        </is>
      </c>
      <c r="C26" s="9" t="inlineStr">
        <is>
          <t>Tudo Pet</t>
        </is>
      </c>
      <c r="D26" s="13" t="n">
        <v>39.8</v>
      </c>
      <c r="E26" s="9" t="inlineStr">
        <is>
          <t>n/d</t>
        </is>
      </c>
      <c r="F26" s="9" t="inlineStr">
        <is>
          <t>n/d</t>
        </is>
      </c>
      <c r="G26" s="9" t="n">
        <v>65</v>
      </c>
      <c r="H26" s="9" t="n">
        <v>4.5</v>
      </c>
      <c r="I26" s="10" t="inlineStr">
        <is>
          <t>n/d</t>
        </is>
      </c>
      <c r="J26" s="10" t="inlineStr">
        <is>
          <t>Marca de terceiro (Maxxi) sob Tudo Pet</t>
        </is>
      </c>
    </row>
    <row r="27" ht="28" customHeight="1">
      <c r="A27" s="11" t="inlineStr"/>
      <c r="B27" s="12" t="inlineStr">
        <is>
          <t>Pa para Racao Azul</t>
        </is>
      </c>
      <c r="C27" s="11" t="inlineStr">
        <is>
          <t>Tudo Pet</t>
        </is>
      </c>
      <c r="D27" s="14" t="n">
        <v>17.63</v>
      </c>
      <c r="E27" s="11" t="inlineStr">
        <is>
          <t>n/d</t>
        </is>
      </c>
      <c r="F27" s="11" t="inlineStr">
        <is>
          <t>n/d</t>
        </is>
      </c>
      <c r="G27" s="11" t="n">
        <v>19</v>
      </c>
      <c r="H27" s="11" t="n">
        <v>4.3</v>
      </c>
      <c r="I27" s="12" t="inlineStr">
        <is>
          <t>n/d</t>
        </is>
      </c>
      <c r="J27" s="12" t="inlineStr"/>
    </row>
    <row r="28" ht="28" customHeight="1">
      <c r="A28" s="9" t="inlineStr"/>
      <c r="B28" s="10" t="inlineStr">
        <is>
          <t>Mangueira Aquario Rolo 2m</t>
        </is>
      </c>
      <c r="C28" s="9" t="inlineStr">
        <is>
          <t>Tudo Pet</t>
        </is>
      </c>
      <c r="D28" s="13" t="n"/>
      <c r="E28" s="9" t="inlineStr">
        <is>
          <t>n/d</t>
        </is>
      </c>
      <c r="F28" s="9" t="inlineStr">
        <is>
          <t>n/d</t>
        </is>
      </c>
      <c r="G28" s="9" t="n">
        <v>7</v>
      </c>
      <c r="H28" s="9" t="n">
        <v>4.3</v>
      </c>
      <c r="I28" s="10" t="inlineStr">
        <is>
          <t>n/d</t>
        </is>
      </c>
      <c r="J28" s="10" t="inlineStr"/>
    </row>
    <row r="29" ht="28" customHeight="1">
      <c r="A29" s="11" t="inlineStr"/>
      <c r="B29" s="12" t="inlineStr">
        <is>
          <t>Comedouro e Bebedouro Luxo Cao Transparente 300ml Vermelho</t>
        </is>
      </c>
      <c r="C29" s="11" t="inlineStr">
        <is>
          <t>Tudo Pet</t>
        </is>
      </c>
      <c r="D29" s="14" t="n">
        <v>9.9</v>
      </c>
      <c r="E29" s="11" t="inlineStr">
        <is>
          <t>n/d</t>
        </is>
      </c>
      <c r="F29" s="11" t="inlineStr">
        <is>
          <t>n/d</t>
        </is>
      </c>
      <c r="G29" s="11" t="n">
        <v>4</v>
      </c>
      <c r="H29" s="11" t="n">
        <v>3.8</v>
      </c>
      <c r="I29" s="12" t="inlineStr">
        <is>
          <t>n/d</t>
        </is>
      </c>
      <c r="J29" s="12" t="inlineStr">
        <is>
          <t>Comparavel direto: concorrentes 300ml de R$7,29 a R$13,20</t>
        </is>
      </c>
    </row>
    <row r="30" ht="28" customHeight="1">
      <c r="A30" s="9" t="inlineStr"/>
      <c r="B30" s="10" t="inlineStr">
        <is>
          <t>Comedouro Transparente para Gato 100ml</t>
        </is>
      </c>
      <c r="C30" s="9" t="inlineStr">
        <is>
          <t>Tudo Pet</t>
        </is>
      </c>
      <c r="D30" s="13" t="n">
        <v>21.92</v>
      </c>
      <c r="E30" s="9" t="inlineStr">
        <is>
          <t>Amazon.com.br</t>
        </is>
      </c>
      <c r="F30" s="9" t="inlineStr">
        <is>
          <t>Somente 1</t>
        </is>
      </c>
      <c r="G30" s="9" t="n">
        <v>4</v>
      </c>
      <c r="H30" s="9" t="n">
        <v>5</v>
      </c>
      <c r="I30" s="10" t="inlineStr">
        <is>
          <t>Cachorros &gt; Potes e Tigelas</t>
        </is>
      </c>
      <c r="J30" s="10" t="inlineStr">
        <is>
          <t>Produto de gato em categoria de cachorro | preco por kg</t>
        </is>
      </c>
    </row>
    <row r="31" ht="28" customHeight="1">
      <c r="A31" s="11" t="inlineStr"/>
      <c r="B31" s="12" t="inlineStr">
        <is>
          <t>Tubo de Exercicios Curvo</t>
        </is>
      </c>
      <c r="C31" s="11" t="inlineStr">
        <is>
          <t>Tudo Pet</t>
        </is>
      </c>
      <c r="D31" s="14" t="n">
        <v>21.79</v>
      </c>
      <c r="E31" s="11" t="inlineStr">
        <is>
          <t>n/d</t>
        </is>
      </c>
      <c r="F31" s="11" t="inlineStr">
        <is>
          <t>n/d</t>
        </is>
      </c>
      <c r="G31" s="11" t="n"/>
      <c r="H31" s="11" t="n"/>
      <c r="I31" s="12" t="inlineStr">
        <is>
          <t>n/d</t>
        </is>
      </c>
      <c r="J31" s="12" t="inlineStr">
        <is>
          <t>Preco exibido por kg</t>
        </is>
      </c>
    </row>
    <row r="32" ht="28" customHeight="1">
      <c r="A32" s="9" t="inlineStr"/>
      <c r="B32" s="10" t="inlineStr">
        <is>
          <t>Limpaquarium 1o Estagio Automatico</t>
        </is>
      </c>
      <c r="C32" s="9" t="inlineStr">
        <is>
          <t>Still Pet</t>
        </is>
      </c>
      <c r="D32" s="13" t="n">
        <v>55.5</v>
      </c>
      <c r="E32" s="9" t="inlineStr">
        <is>
          <t>Amazon.com.br</t>
        </is>
      </c>
      <c r="F32" s="9" t="inlineStr">
        <is>
          <t>Somente 1</t>
        </is>
      </c>
      <c r="G32" s="9" t="n">
        <v>7</v>
      </c>
      <c r="H32" s="9" t="n">
        <v>3.7</v>
      </c>
      <c r="I32" s="10" t="inlineStr">
        <is>
          <t>Peixes e Animais Aquaticos &gt; Acessorios para Aquario</t>
        </is>
      </c>
      <c r="J32" s="10" t="inlineStr">
        <is>
          <t>Embalagem traz logo 'Quick Pet' | preco por kg | +2 ofertas</t>
        </is>
      </c>
    </row>
    <row r="33" ht="28" customHeight="1">
      <c r="A33" s="11" t="inlineStr"/>
      <c r="B33" s="12" t="inlineStr">
        <is>
          <t>Anel Macico Cores Variadas</t>
        </is>
      </c>
      <c r="C33" s="11" t="inlineStr">
        <is>
          <t>Still Pet</t>
        </is>
      </c>
      <c r="D33" s="14" t="n">
        <v>27.85</v>
      </c>
      <c r="E33" s="11" t="inlineStr">
        <is>
          <t>Amazon.com.br</t>
        </is>
      </c>
      <c r="F33" s="11" t="inlineStr">
        <is>
          <t>Sob encomenda</t>
        </is>
      </c>
      <c r="G33" s="11" t="n">
        <v>1</v>
      </c>
      <c r="H33" s="11" t="n">
        <v>5</v>
      </c>
      <c r="I33" s="12" t="inlineStr">
        <is>
          <t>Cachorros &gt; Brinquedos &gt; Mordedores</t>
        </is>
      </c>
      <c r="J33" s="12" t="inlineStr">
        <is>
          <t>Selo 'Still Pet Forca Animal' | marca ausente do titulo</t>
        </is>
      </c>
    </row>
    <row r="35">
      <c r="B35" s="3" t="inlineStr">
        <is>
          <t>ASINs documentados</t>
        </is>
      </c>
      <c r="C35" s="7">
        <f>COUNTA(B6:B33)</f>
        <v/>
      </c>
    </row>
    <row r="36">
      <c r="B36" s="7" t="inlineStr">
        <is>
          <t>Sob marca 'Tudo Pet'</t>
        </is>
      </c>
      <c r="C36" s="7">
        <f>COUNTIF(C6:C33,"Tudo Pet")</f>
        <v/>
      </c>
    </row>
    <row r="37">
      <c r="B37" s="7" t="inlineStr">
        <is>
          <t>Sob marca 'Still Pet'</t>
        </is>
      </c>
      <c r="C37" s="7">
        <f>COUNTIF(C6:C33,"Still Pet")</f>
        <v/>
      </c>
    </row>
    <row r="38">
      <c r="B38" s="7" t="inlineStr">
        <is>
          <t>Em ruptura ('Somente X') ou sob encomenda</t>
        </is>
      </c>
      <c r="C38" s="7">
        <f>COUNTIF(F6:F33,"Somente*")+COUNTIF(F6:F33,"Sob encomenda")</f>
        <v/>
      </c>
    </row>
    <row r="39">
      <c r="B39" s="5" t="inlineStr">
        <is>
          <t>Buy Box em terceiro ou inexistente</t>
        </is>
      </c>
      <c r="C39" s="5">
        <f>COUNTA(E6:E33)-COUNTIF(E6:E33,"Amazon.com.br")-COUNTIF(E6:E33,"n/d")</f>
        <v/>
      </c>
    </row>
    <row r="41">
      <c r="B41" s="2" t="inlineStr">
        <is>
          <t>Universo total do filtro de marca 'Tudo Pet': 151 resultados (print 23/09/2026). Esta aba documenta a amostra capturada, nao o catalogo inteiro.</t>
        </is>
      </c>
    </row>
  </sheetData>
  <mergeCells count="1">
    <mergeCell ref="B41:J4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F2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" customWidth="1" min="1" max="1"/>
    <col width="46" customWidth="1" min="2" max="2"/>
    <col width="24" customWidth="1" min="3" max="3"/>
    <col width="46" customWidth="1" min="4" max="4"/>
    <col width="46" customWidth="1" min="5" max="5"/>
    <col width="12" customWidth="1" min="6" max="6"/>
  </cols>
  <sheetData>
    <row r="2">
      <c r="B2" s="1" t="inlineStr">
        <is>
          <t>Erros de cadastro identificados - lista acionavel</t>
        </is>
      </c>
    </row>
    <row r="3">
      <c r="B3" s="2" t="inlineStr">
        <is>
          <t>Cada linha e uma tarefa da Fase 1. Prioridade = impacto em busca, conversao ou risco de devolucao.</t>
        </is>
      </c>
    </row>
    <row r="5">
      <c r="A5" s="8" t="inlineStr"/>
      <c r="B5" s="8" t="inlineStr">
        <is>
          <t>Produto / escopo</t>
        </is>
      </c>
      <c r="C5" s="8" t="inlineStr">
        <is>
          <t>Tipo de erro</t>
        </is>
      </c>
      <c r="D5" s="8" t="inlineStr">
        <is>
          <t>O que esta no ar hoje</t>
        </is>
      </c>
      <c r="E5" s="8" t="inlineStr">
        <is>
          <t>Por que custa dinheiro</t>
        </is>
      </c>
      <c r="F5" s="8" t="inlineStr">
        <is>
          <t>Prioridade</t>
        </is>
      </c>
    </row>
    <row r="6" ht="42" customHeight="1">
      <c r="A6" s="9" t="inlineStr"/>
      <c r="B6" s="10" t="inlineStr">
        <is>
          <t>Catalogo inteiro (151 ASINs)</t>
        </is>
      </c>
      <c r="C6" s="10" t="inlineStr">
        <is>
          <t>Atributos de filtro ausentes</t>
        </is>
      </c>
      <c r="D6" s="10" t="inlineStr">
        <is>
          <t>Campos Especie, Capacidade (mL) e Recursos (anti-formiga, antiderrapante, antivomito) nao preenchidos</t>
        </is>
      </c>
      <c r="E6" s="10" t="inlineStr">
        <is>
          <t>Cada filtro que o comprador clica e uma pergunta que a ficha nao responde. A marca some da busca filtrada.</t>
        </is>
      </c>
      <c r="F6" s="15" t="inlineStr">
        <is>
          <t>CRITICO</t>
        </is>
      </c>
    </row>
    <row r="7" ht="42" customHeight="1">
      <c r="A7" s="11" t="inlineStr"/>
      <c r="B7" s="12" t="inlineStr">
        <is>
          <t>Comedouro e Bebedouro Pesado Filhote 450ml Rosa</t>
        </is>
      </c>
      <c r="C7" s="12" t="inlineStr">
        <is>
          <t>Sem Buy Box</t>
        </is>
      </c>
      <c r="D7" s="12" t="inlineStr">
        <is>
          <t>'Nenhuma opcao de compra em destaque' - 4,8 estrelas e 182 avaliacoes</t>
        </is>
      </c>
      <c r="E7" s="12" t="inlineStr">
        <is>
          <t>ASIN forte sem botao de compra em um clique. Venda perdida todo dia, reparavel em dias.</t>
        </is>
      </c>
      <c r="F7" s="15" t="inlineStr">
        <is>
          <t>CRITICO</t>
        </is>
      </c>
    </row>
    <row r="8" ht="42" customHeight="1">
      <c r="A8" s="9" t="inlineStr"/>
      <c r="B8" s="10" t="inlineStr">
        <is>
          <t>Still Pet / Tudo Pet / Quick Pet</t>
        </is>
      </c>
      <c r="C8" s="10" t="inlineStr">
        <is>
          <t>Conflito de identidade de marca</t>
        </is>
      </c>
      <c r="D8" s="10" t="inlineStr">
        <is>
          <t>Tres marcas circulando no mesmo catalogo sem hierarquia</t>
        </is>
      </c>
      <c r="E8" s="10" t="inlineStr">
        <is>
          <t>Sete anos de autoridade diluidos em tres baldes. O algoritmo trata como tres marcas desconhecidas.</t>
        </is>
      </c>
      <c r="F8" s="16" t="inlineStr">
        <is>
          <t>ALTO</t>
        </is>
      </c>
    </row>
    <row r="9" ht="42" customHeight="1">
      <c r="A9" s="11" t="inlineStr"/>
      <c r="B9" s="12" t="inlineStr">
        <is>
          <t>Comedouros pesados (varios ASINs)</t>
        </is>
      </c>
      <c r="C9" s="12" t="inlineStr">
        <is>
          <t>Marca do produto x marca da ficha</t>
        </is>
      </c>
      <c r="D9" s="12" t="inlineStr">
        <is>
          <t>Selo 'Still Pet' moldado no plastico, campo Marca = 'Tudo Pet'</t>
        </is>
      </c>
      <c r="E9" s="12" t="inlineStr">
        <is>
          <t>A marca de 40 anos e invisivel no canal. Quem compra nunca ve 'Still Pet'.</t>
        </is>
      </c>
      <c r="F9" s="16" t="inlineStr">
        <is>
          <t>ALTO</t>
        </is>
      </c>
    </row>
    <row r="10" ht="42" customHeight="1">
      <c r="A10" s="9" t="inlineStr"/>
      <c r="B10" s="10" t="inlineStr">
        <is>
          <t>Limpaquarium 1o Estagio</t>
        </is>
      </c>
      <c r="C10" s="10" t="inlineStr">
        <is>
          <t>Marca do produto x marca da ficha</t>
        </is>
      </c>
      <c r="D10" s="10" t="inlineStr">
        <is>
          <t>Cadastro 'Still Pet', embalagem na galeria traz logo 'Quick Pet'</t>
        </is>
      </c>
      <c r="E10" s="10" t="inlineStr">
        <is>
          <t>Terceira identidade na mesma ficha. Confunde comprador e algoritmo.</t>
        </is>
      </c>
      <c r="F10" s="16" t="inlineStr">
        <is>
          <t>ALTO</t>
        </is>
      </c>
    </row>
    <row r="11" ht="42" customHeight="1">
      <c r="A11" s="11" t="inlineStr"/>
      <c r="B11" s="12" t="inlineStr">
        <is>
          <t>Bica Pedra Calopsitas</t>
        </is>
      </c>
      <c r="C11" s="12" t="inlineStr">
        <is>
          <t>Descricao factualmente errada</t>
        </is>
      </c>
      <c r="D11" s="12" t="inlineStr">
        <is>
          <t>'Funcao do produto: espelho para passaros' - o produto e pedra de calcio para bico</t>
        </is>
      </c>
      <c r="E11" s="12" t="inlineStr">
        <is>
          <t>Risco de devolucao e reclamacao em um ASIN com selo Escolha da Amazon.</t>
        </is>
      </c>
      <c r="F11" s="16" t="inlineStr">
        <is>
          <t>ALTO</t>
        </is>
      </c>
    </row>
    <row r="12" ht="42" customHeight="1">
      <c r="A12" s="9" t="inlineStr"/>
      <c r="B12" s="10" t="inlineStr">
        <is>
          <t>Coleira P/Gato Elastico Estampas</t>
        </is>
      </c>
      <c r="C12" s="10" t="inlineStr">
        <is>
          <t>Categoria errada</t>
        </is>
      </c>
      <c r="D12" s="10" t="inlineStr">
        <is>
          <t>Gatos &gt; Antipulgas e Carrapatos &gt; Coleiras Antipulgas</t>
        </is>
      </c>
      <c r="E12" s="10" t="inlineStr">
        <is>
          <t>Coleira decorativa vendida como antipulgas. Ranqueia na busca errada e gera devolucao.</t>
        </is>
      </c>
      <c r="F12" s="16" t="inlineStr">
        <is>
          <t>ALTO</t>
        </is>
      </c>
    </row>
    <row r="13" ht="42" customHeight="1">
      <c r="A13" s="11" t="inlineStr"/>
      <c r="B13" s="12" t="inlineStr">
        <is>
          <t>Coleira P/Gato Elastico Con Guizo</t>
        </is>
      </c>
      <c r="C13" s="12" t="inlineStr">
        <is>
          <t>Categoria errada</t>
        </is>
      </c>
      <c r="D13" s="12" t="inlineStr">
        <is>
          <t>Gatos &gt; Roupas</t>
        </is>
      </c>
      <c r="E13" s="12" t="inlineStr">
        <is>
          <t>Duas coleiras quase identicas em duas categorias, nenhuma em 'Coleiras'.</t>
        </is>
      </c>
      <c r="F13" s="16" t="inlineStr">
        <is>
          <t>ALTO</t>
        </is>
      </c>
    </row>
    <row r="14" ht="42" customHeight="1">
      <c r="A14" s="9" t="inlineStr"/>
      <c r="B14" s="10" t="inlineStr">
        <is>
          <t>Comedouro Transparente para Gato 100ml</t>
        </is>
      </c>
      <c r="C14" s="10" t="inlineStr">
        <is>
          <t>Categoria errada</t>
        </is>
      </c>
      <c r="D14" s="10" t="inlineStr">
        <is>
          <t>Cachorros &gt; Potes e Tigelas</t>
        </is>
      </c>
      <c r="E14" s="10" t="inlineStr">
        <is>
          <t>Produto de gato indexado em cachorro. Aparece em busca de roedor e some da busca de gato.</t>
        </is>
      </c>
      <c r="F14" s="16" t="inlineStr">
        <is>
          <t>ALTO</t>
        </is>
      </c>
    </row>
    <row r="15" ht="42" customHeight="1">
      <c r="A15" s="11" t="inlineStr"/>
      <c r="B15" s="12" t="inlineStr">
        <is>
          <t>Bica Pedra Calopsitas</t>
        </is>
      </c>
      <c r="C15" s="12" t="inlineStr">
        <is>
          <t>Categoria errada</t>
        </is>
      </c>
      <c r="D15" s="12" t="inlineStr">
        <is>
          <t>Aves e Passaros &gt; Brinquedos</t>
        </is>
      </c>
      <c r="E15" s="12" t="inlineStr">
        <is>
          <t>Suplemento de calcio classificado como brinquedo.</t>
        </is>
      </c>
      <c r="F15" s="16" t="inlineStr">
        <is>
          <t>ALTO</t>
        </is>
      </c>
    </row>
    <row r="16" ht="42" customHeight="1">
      <c r="A16" s="9" t="inlineStr"/>
      <c r="B16" s="10" t="inlineStr">
        <is>
          <t>Ninho de Madeira Pinus Calopsyta</t>
        </is>
      </c>
      <c r="C16" s="10" t="inlineStr">
        <is>
          <t>Titulo errado</t>
        </is>
      </c>
      <c r="D16" s="10" t="inlineStr">
        <is>
          <t>Titulo termina em 'Para Caes'</t>
        </is>
      </c>
      <c r="E16" s="10" t="inlineStr">
        <is>
          <t>Ninho de ave anunciado para cachorro. Zero relevancia na busca certa.</t>
        </is>
      </c>
      <c r="F16" s="16" t="inlineStr">
        <is>
          <t>ALTO</t>
        </is>
      </c>
    </row>
    <row r="17" ht="42" customHeight="1">
      <c r="A17" s="11" t="inlineStr"/>
      <c r="B17" s="12" t="inlineStr">
        <is>
          <t>Comedouro Oval Passaros / Anel Macico / Comedouro Gato 100ml</t>
        </is>
      </c>
      <c r="C17" s="12" t="inlineStr">
        <is>
          <t>Atributo invalido preenchido</t>
        </is>
      </c>
      <c r="D17" s="12" t="inlineStr">
        <is>
          <t>'Adequacao do controle por radio: Passaros / Mastigar / Uso interno com gatos'</t>
        </is>
      </c>
      <c r="E17" s="12" t="inlineStr">
        <is>
          <t>Campo de eletronico de controle remoto preenchido com texto aleatorio. Assinatura de upload em massa sem mapa de atributo.</t>
        </is>
      </c>
      <c r="F17" s="17" t="inlineStr">
        <is>
          <t>MEDIO</t>
        </is>
      </c>
    </row>
    <row r="18" ht="42" customHeight="1">
      <c r="A18" s="9" t="inlineStr"/>
      <c r="B18" s="10" t="inlineStr">
        <is>
          <t>Comedouro Oval para Passaros</t>
        </is>
      </c>
      <c r="C18" s="10" t="inlineStr">
        <is>
          <t>Material indefinido</t>
        </is>
      </c>
      <c r="D18" s="10" t="inlineStr">
        <is>
          <t>Material: 'Madeira ou Plastico'</t>
        </is>
      </c>
      <c r="E18" s="10" t="inlineStr">
        <is>
          <t>Filtro de Material nao alcanca o produto.</t>
        </is>
      </c>
      <c r="F18" s="18" t="inlineStr">
        <is>
          <t>MEDIO</t>
        </is>
      </c>
    </row>
    <row r="19" ht="42" customHeight="1">
      <c r="A19" s="11" t="inlineStr"/>
      <c r="B19" s="12" t="inlineStr">
        <is>
          <t>Bebedouro Passaros / Drink Mouse</t>
        </is>
      </c>
      <c r="C19" s="12" t="inlineStr">
        <is>
          <t>Peso irreal</t>
        </is>
      </c>
      <c r="D19" s="12" t="inlineStr">
        <is>
          <t>'Peso do produto: 10 Gramas'</t>
        </is>
      </c>
      <c r="E19" s="12" t="inlineStr">
        <is>
          <t>Peso errado afeta calculo de frete e elegibilidade logistica.</t>
        </is>
      </c>
      <c r="F19" s="17" t="inlineStr">
        <is>
          <t>MEDIO</t>
        </is>
      </c>
    </row>
    <row r="20" ht="42" customHeight="1">
      <c r="A20" s="9" t="inlineStr"/>
      <c r="B20" s="10" t="inlineStr">
        <is>
          <t>Anel Macico / Limpaquarium</t>
        </is>
      </c>
      <c r="C20" s="10" t="inlineStr">
        <is>
          <t>Marca ausente do titulo</t>
        </is>
      </c>
      <c r="D20" s="10" t="inlineStr">
        <is>
          <t>'Anel Macico Cores Variadas' - sem marca</t>
        </is>
      </c>
      <c r="E20" s="10" t="inlineStr">
        <is>
          <t>Padrao de titulo inconsistente com o resto do catalogo, que comeca com 'Tudo Pet'.</t>
        </is>
      </c>
      <c r="F20" s="18" t="inlineStr">
        <is>
          <t>MEDIO</t>
        </is>
      </c>
    </row>
    <row r="21" ht="42" customHeight="1">
      <c r="A21" s="11" t="inlineStr"/>
      <c r="B21" s="12" t="inlineStr">
        <is>
          <t>Maxxi Power, HF 0600, Drink Mouse</t>
        </is>
      </c>
      <c r="C21" s="12" t="inlineStr">
        <is>
          <t>Marca de terceiro sob a marca propria</t>
        </is>
      </c>
      <c r="D21" s="12" t="inlineStr">
        <is>
          <t>Produtos de outros fabricantes cadastrados sob 'Tudo Pet'</t>
        </is>
      </c>
      <c r="E21" s="12" t="inlineStr">
        <is>
          <t>Diluicao da marca e obstaculo para Brand Registry. Bate com os ~20%% de revenda declarados na call.</t>
        </is>
      </c>
      <c r="F21" s="17" t="inlineStr">
        <is>
          <t>MEDIO</t>
        </is>
      </c>
    </row>
    <row r="22" ht="42" customHeight="1">
      <c r="A22" s="9" t="inlineStr"/>
      <c r="B22" s="10" t="inlineStr">
        <is>
          <t>Coleira Con Guizo, Limpaquarium, Comedouro Gato, Tubo Exercicios</t>
        </is>
      </c>
      <c r="C22" s="10" t="inlineStr">
        <is>
          <t>Unidade de medida errada</t>
        </is>
      </c>
      <c r="D22" s="10" t="inlineStr">
        <is>
          <t>Preco exibido 'por kg' em produto que nao se vende por peso</t>
        </is>
      </c>
      <c r="E22" s="10" t="inlineStr">
        <is>
          <t>Distorce a comparacao de preco na busca. ATENCAO: erro comum na categoria - ver aba Benchmark.</t>
        </is>
      </c>
      <c r="F22" s="18" t="inlineStr">
        <is>
          <t>BAIXO</t>
        </is>
      </c>
    </row>
    <row r="23" ht="42" customHeight="1">
      <c r="A23" s="11" t="inlineStr"/>
      <c r="B23" s="12" t="inlineStr">
        <is>
          <t>Coleira P/Gato Elastico Con Guizo</t>
        </is>
      </c>
      <c r="C23" s="12" t="inlineStr">
        <is>
          <t>Idioma no titulo</t>
        </is>
      </c>
      <c r="D23" s="12" t="inlineStr">
        <is>
          <t>'Con Guizo' - espanhol</t>
        </is>
      </c>
      <c r="E23" s="12" t="inlineStr">
        <is>
          <t>Prejudica a correspondencia com o termo de busca em portugues.</t>
        </is>
      </c>
      <c r="F23" s="17" t="inlineStr">
        <is>
          <t>BAIXO</t>
        </is>
      </c>
    </row>
    <row r="24" ht="42" customHeight="1">
      <c r="A24" s="9" t="inlineStr"/>
      <c r="B24" s="10" t="inlineStr">
        <is>
          <t>Varios ASINs</t>
        </is>
      </c>
      <c r="C24" s="10" t="inlineStr">
        <is>
          <t>Erro de digitacao repetido</t>
        </is>
      </c>
      <c r="D24" s="10" t="inlineStr">
        <is>
          <t>'Medioio' em multiplos titulos</t>
        </is>
      </c>
      <c r="E24" s="10" t="inlineStr">
        <is>
          <t>Termo de busca 'medio' nao casa com o titulo.</t>
        </is>
      </c>
      <c r="F24" s="18" t="inlineStr">
        <is>
          <t>BAIXO</t>
        </is>
      </c>
    </row>
    <row r="26">
      <c r="B26" s="5" t="inlineStr">
        <is>
          <t>Itens CRITICOS</t>
        </is>
      </c>
      <c r="C26" s="5">
        <f>COUNTIF(F6:F24,"CRITICO")</f>
        <v/>
      </c>
    </row>
    <row r="27">
      <c r="B27" s="3" t="inlineStr">
        <is>
          <t>Itens ALTO</t>
        </is>
      </c>
      <c r="C27" s="7">
        <f>COUNTIF(F6:F24,"ALTO")</f>
        <v/>
      </c>
    </row>
    <row r="28">
      <c r="B28" s="7" t="inlineStr">
        <is>
          <t>Total de itens</t>
        </is>
      </c>
      <c r="C28" s="7">
        <f>COUNTA(C6:C24)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G51"/>
  <sheetViews>
    <sheetView workbookViewId="0">
      <pane ySplit="43" topLeftCell="A44" activePane="bottomLeft" state="frozen"/>
      <selection pane="bottomLeft" activeCell="A1" sqref="A1"/>
    </sheetView>
  </sheetViews>
  <sheetFormatPr baseColWidth="8" defaultRowHeight="15"/>
  <cols>
    <col width="4" customWidth="1" min="1" max="1"/>
    <col width="20" customWidth="1" min="2" max="2"/>
    <col width="50" customWidth="1" min="3" max="3"/>
    <col width="12" customWidth="1" min="4" max="4"/>
    <col width="12" customWidth="1" min="5" max="5"/>
    <col width="8" customWidth="1" min="6" max="6"/>
    <col width="34" customWidth="1" min="7" max="7"/>
  </cols>
  <sheetData>
    <row r="2">
      <c r="B2" s="1" t="inlineStr">
        <is>
          <t>Quem ocupa as buscas da categoria</t>
        </is>
      </c>
    </row>
    <row r="3">
      <c r="B3" s="2" t="inlineStr">
        <is>
          <t>Fonte: buscas 'comedouro bebedouro cachorro plastico' e 'comedouro para roedor', Amazon.com.br, 23/09/2026</t>
        </is>
      </c>
    </row>
    <row r="5">
      <c r="A5" s="8" t="inlineStr"/>
      <c r="B5" s="8" t="inlineStr">
        <is>
          <t>Marca</t>
        </is>
      </c>
      <c r="C5" s="8" t="inlineStr">
        <is>
          <t>Produto</t>
        </is>
      </c>
      <c r="D5" s="8" t="inlineStr">
        <is>
          <t>Preco (R$)</t>
        </is>
      </c>
      <c r="E5" s="8" t="inlineStr">
        <is>
          <t>Avaliacoes</t>
        </is>
      </c>
      <c r="F5" s="8" t="inlineStr">
        <is>
          <t>Nota</t>
        </is>
      </c>
      <c r="G5" s="8" t="inlineStr">
        <is>
          <t>Sinal capturado</t>
        </is>
      </c>
    </row>
    <row r="6" ht="26" customHeight="1">
      <c r="A6" s="9" t="inlineStr"/>
      <c r="B6" s="9" t="inlineStr">
        <is>
          <t>Mr Pet / SmartyKat</t>
        </is>
      </c>
      <c r="C6" s="10" t="inlineStr">
        <is>
          <t>Comedouro Gato 120ml</t>
        </is>
      </c>
      <c r="D6" s="13" t="n">
        <v>3.38</v>
      </c>
      <c r="E6" s="9" t="n">
        <v>207</v>
      </c>
      <c r="F6" s="9" t="n">
        <v>4.5</v>
      </c>
      <c r="G6" s="10" t="inlineStr">
        <is>
          <t>Mais vendido | +900 compras no mes</t>
        </is>
      </c>
    </row>
    <row r="7" ht="26" customHeight="1">
      <c r="A7" s="11" t="inlineStr"/>
      <c r="B7" s="11" t="inlineStr">
        <is>
          <t>Furacao Pet</t>
        </is>
      </c>
      <c r="C7" s="12" t="inlineStr">
        <is>
          <t>Comedouro Gato Anti Formiga 200ml Vermelho</t>
        </is>
      </c>
      <c r="D7" s="14" t="n">
        <v>3.58</v>
      </c>
      <c r="E7" s="11" t="n">
        <v>97</v>
      </c>
      <c r="F7" s="11" t="n">
        <v>4.5</v>
      </c>
      <c r="G7" s="12" t="inlineStr">
        <is>
          <t>+100 compras no mes</t>
        </is>
      </c>
    </row>
    <row r="8" ht="26" customHeight="1">
      <c r="A8" s="9" t="inlineStr"/>
      <c r="B8" s="9" t="inlineStr">
        <is>
          <t>Mr Pet / SmartyKat</t>
        </is>
      </c>
      <c r="C8" s="10" t="inlineStr">
        <is>
          <t>Comedouro Econ Pata-Osso Filhote</t>
        </is>
      </c>
      <c r="D8" s="13" t="n">
        <v>4.23</v>
      </c>
      <c r="E8" s="9" t="n">
        <v>346</v>
      </c>
      <c r="F8" s="9" t="n">
        <v>4.6</v>
      </c>
      <c r="G8" s="10" t="inlineStr">
        <is>
          <t>Escolha da Amazon | +100 compras no mes</t>
        </is>
      </c>
    </row>
    <row r="9" ht="26" customHeight="1">
      <c r="A9" s="11" t="inlineStr"/>
      <c r="B9" s="11" t="inlineStr">
        <is>
          <t>Furacao Pet</t>
        </is>
      </c>
      <c r="C9" s="12" t="inlineStr">
        <is>
          <t>Comedouro Plastica Gato Anti-Formiga 200ml Rosa</t>
        </is>
      </c>
      <c r="D9" s="14" t="n">
        <v>5.94</v>
      </c>
      <c r="E9" s="11" t="n">
        <v>102</v>
      </c>
      <c r="F9" s="11" t="n">
        <v>4.5</v>
      </c>
      <c r="G9" s="12" t="inlineStr">
        <is>
          <t>Oferta</t>
        </is>
      </c>
    </row>
    <row r="10" ht="26" customHeight="1">
      <c r="A10" s="9" t="inlineStr"/>
      <c r="B10" s="9" t="inlineStr">
        <is>
          <t>Furacao Pet</t>
        </is>
      </c>
      <c r="C10" s="10" t="inlineStr">
        <is>
          <t>Comedouro Pop N.3 1000ml Azul</t>
        </is>
      </c>
      <c r="D10" s="13" t="n">
        <v>6.56</v>
      </c>
      <c r="E10" s="9" t="n">
        <v>181</v>
      </c>
      <c r="F10" s="9" t="n">
        <v>4.8</v>
      </c>
      <c r="G10" s="10" t="inlineStr"/>
    </row>
    <row r="11" ht="26" customHeight="1">
      <c r="A11" s="11" t="inlineStr"/>
      <c r="B11" s="11" t="inlineStr">
        <is>
          <t>Mr Pet</t>
        </is>
      </c>
      <c r="C11" s="12" t="inlineStr">
        <is>
          <t>Comedouro Ecol Anti-Formiga Filhote</t>
        </is>
      </c>
      <c r="D11" s="14" t="n">
        <v>6.63</v>
      </c>
      <c r="E11" s="11" t="n">
        <v>111</v>
      </c>
      <c r="F11" s="11" t="n">
        <v>4.5</v>
      </c>
      <c r="G11" s="12" t="inlineStr"/>
    </row>
    <row r="12" ht="26" customHeight="1">
      <c r="A12" s="9" t="inlineStr"/>
      <c r="B12" s="9" t="inlineStr">
        <is>
          <t>Lilopety</t>
        </is>
      </c>
      <c r="C12" s="10" t="inlineStr">
        <is>
          <t>Comedouro P 300ml Rosa</t>
        </is>
      </c>
      <c r="D12" s="13" t="n">
        <v>7.29</v>
      </c>
      <c r="E12" s="9" t="n">
        <v>108</v>
      </c>
      <c r="F12" s="9" t="n">
        <v>4.8</v>
      </c>
      <c r="G12" s="10" t="inlineStr">
        <is>
          <t>Comparavel direto ao Luxo 300ml da StillPet (R$9,90)</t>
        </is>
      </c>
    </row>
    <row r="13" ht="26" customHeight="1">
      <c r="A13" s="11" t="inlineStr"/>
      <c r="B13" s="11" t="inlineStr">
        <is>
          <t>Pet Injet</t>
        </is>
      </c>
      <c r="C13" s="12" t="inlineStr">
        <is>
          <t>Comedouro Anti-Formiga Filhote Lilas</t>
        </is>
      </c>
      <c r="D13" s="14" t="n">
        <v>8.84</v>
      </c>
      <c r="E13" s="11" t="n">
        <v>90</v>
      </c>
      <c r="F13" s="11" t="n">
        <v>4.6</v>
      </c>
      <c r="G13" s="12" t="inlineStr"/>
    </row>
    <row r="14" ht="26" customHeight="1">
      <c r="A14" s="9" t="inlineStr"/>
      <c r="B14" s="9" t="inlineStr">
        <is>
          <t>Furacao Pet</t>
        </is>
      </c>
      <c r="C14" s="10" t="inlineStr">
        <is>
          <t>Comedouro Pop N.4 1900ml Rosa</t>
        </is>
      </c>
      <c r="D14" s="13" t="n">
        <v>9.359999999999999</v>
      </c>
      <c r="E14" s="9" t="n">
        <v>24</v>
      </c>
      <c r="F14" s="9" t="n">
        <v>4.6</v>
      </c>
      <c r="G14" s="10" t="inlineStr"/>
    </row>
    <row r="15" ht="26" customHeight="1">
      <c r="A15" s="11" t="inlineStr"/>
      <c r="B15" s="11" t="inlineStr">
        <is>
          <t>Sem marca</t>
        </is>
      </c>
      <c r="C15" s="12" t="inlineStr">
        <is>
          <t>Comedouro Antiformiga 300ml BPA Free</t>
        </is>
      </c>
      <c r="D15" s="14" t="n">
        <v>11.9</v>
      </c>
      <c r="E15" s="11" t="n">
        <v>20</v>
      </c>
      <c r="F15" s="11" t="n">
        <v>4.3</v>
      </c>
      <c r="G15" s="12" t="inlineStr">
        <is>
          <t>Pequenas empresas</t>
        </is>
      </c>
    </row>
    <row r="16" ht="26" customHeight="1">
      <c r="A16" s="9" t="inlineStr"/>
      <c r="B16" s="9" t="inlineStr">
        <is>
          <t>Furacao Pet</t>
        </is>
      </c>
      <c r="C16" s="10" t="inlineStr">
        <is>
          <t>Comedouro Anti Formiga 350ml Vermelho</t>
        </is>
      </c>
      <c r="D16" s="13" t="n">
        <v>12.74</v>
      </c>
      <c r="E16" s="9" t="n">
        <v>539</v>
      </c>
      <c r="F16" s="9" t="n">
        <v>4.6</v>
      </c>
      <c r="G16" s="10" t="inlineStr"/>
    </row>
    <row r="17" ht="26" customHeight="1">
      <c r="A17" s="11" t="inlineStr"/>
      <c r="B17" s="11" t="inlineStr">
        <is>
          <t>Sanremo</t>
        </is>
      </c>
      <c r="C17" s="12" t="inlineStr">
        <is>
          <t>Comedouro Cao Plastico 300ml Linha Pet</t>
        </is>
      </c>
      <c r="D17" s="14" t="n">
        <v>13.2</v>
      </c>
      <c r="E17" s="11" t="n">
        <v>91</v>
      </c>
      <c r="F17" s="11" t="n">
        <v>4.7</v>
      </c>
      <c r="G17" s="12" t="inlineStr">
        <is>
          <t>Comparavel direto ao Luxo 300ml da StillPet</t>
        </is>
      </c>
    </row>
    <row r="18" ht="26" customHeight="1">
      <c r="A18" s="9" t="inlineStr"/>
      <c r="B18" s="9" t="inlineStr">
        <is>
          <t>Furacao Pet</t>
        </is>
      </c>
      <c r="C18" s="10" t="inlineStr">
        <is>
          <t>Comedouro Anti-Formiga N.1 350ml Rosa</t>
        </is>
      </c>
      <c r="D18" s="13" t="n">
        <v>14.44</v>
      </c>
      <c r="E18" s="9" t="n">
        <v>143</v>
      </c>
      <c r="F18" s="9" t="n">
        <v>4.6</v>
      </c>
      <c r="G18" s="10" t="inlineStr">
        <is>
          <t>3 ofertas a partir de R$11,59</t>
        </is>
      </c>
    </row>
    <row r="19" ht="26" customHeight="1">
      <c r="A19" s="11" t="inlineStr"/>
      <c r="B19" s="11" t="inlineStr">
        <is>
          <t>Chalesco</t>
        </is>
      </c>
      <c r="C19" s="12" t="inlineStr">
        <is>
          <t>Tigela Inox 360ml</t>
        </is>
      </c>
      <c r="D19" s="14" t="n">
        <v>14.9</v>
      </c>
      <c r="E19" s="11" t="n">
        <v>594</v>
      </c>
      <c r="F19" s="11" t="n">
        <v>4.6</v>
      </c>
      <c r="G19" s="12" t="inlineStr"/>
    </row>
    <row r="20" ht="26" customHeight="1">
      <c r="A20" s="9" t="inlineStr"/>
      <c r="B20" s="9" t="inlineStr">
        <is>
          <t>Furacao Pet</t>
        </is>
      </c>
      <c r="C20" s="10" t="inlineStr">
        <is>
          <t>Comedouro Anti-Formiga Luxo Duplo P Rosa</t>
        </is>
      </c>
      <c r="D20" s="13" t="n">
        <v>14.99</v>
      </c>
      <c r="E20" s="9" t="n">
        <v>202</v>
      </c>
      <c r="F20" s="9" t="n">
        <v>4.7</v>
      </c>
      <c r="G20" s="10" t="inlineStr"/>
    </row>
    <row r="21" ht="26" customHeight="1">
      <c r="A21" s="11" t="inlineStr"/>
      <c r="B21" s="11" t="inlineStr">
        <is>
          <t>Chalesco</t>
        </is>
      </c>
      <c r="C21" s="12" t="inlineStr">
        <is>
          <t>Drinker 125ml para Roedores</t>
        </is>
      </c>
      <c r="D21" s="14" t="n">
        <v>15.5</v>
      </c>
      <c r="E21" s="11" t="n">
        <v>407</v>
      </c>
      <c r="F21" s="11" t="n">
        <v>4.6</v>
      </c>
      <c r="G21" s="12" t="inlineStr">
        <is>
          <t>No 1 entre os melhores avaliados | +50 compras no mes</t>
        </is>
      </c>
    </row>
    <row r="22" ht="26" customHeight="1">
      <c r="A22" s="9" t="inlineStr"/>
      <c r="B22" s="9" t="inlineStr">
        <is>
          <t>Chalesco</t>
        </is>
      </c>
      <c r="C22" s="10" t="inlineStr">
        <is>
          <t>Drinker 250ml para Roedores</t>
        </is>
      </c>
      <c r="D22" s="13" t="n">
        <v>15.83</v>
      </c>
      <c r="E22" s="9" t="n">
        <v>286</v>
      </c>
      <c r="F22" s="9" t="n">
        <v>4.6</v>
      </c>
      <c r="G22" s="10" t="inlineStr">
        <is>
          <t>+50 compras no mes</t>
        </is>
      </c>
    </row>
    <row r="23" ht="26" customHeight="1">
      <c r="A23" s="11" t="inlineStr"/>
      <c r="B23" s="11" t="inlineStr">
        <is>
          <t>MY PET BRASIL</t>
        </is>
      </c>
      <c r="C23" s="12" t="inlineStr">
        <is>
          <t>Comedouro Alto Ergonomico Anti-Formiga Gatos</t>
        </is>
      </c>
      <c r="D23" s="14" t="n">
        <v>16.05</v>
      </c>
      <c r="E23" s="11" t="n">
        <v>167</v>
      </c>
      <c r="F23" s="11" t="n">
        <v>4.4</v>
      </c>
      <c r="G23" s="12" t="inlineStr">
        <is>
          <t>Oferta</t>
        </is>
      </c>
    </row>
    <row r="24" ht="26" customHeight="1">
      <c r="A24" s="9" t="inlineStr"/>
      <c r="B24" s="9" t="inlineStr">
        <is>
          <t>Chalesco</t>
        </is>
      </c>
      <c r="C24" s="10" t="inlineStr">
        <is>
          <t>Tigela Inox 750ml para Caes</t>
        </is>
      </c>
      <c r="D24" s="13" t="n">
        <v>19</v>
      </c>
      <c r="E24" s="9" t="n">
        <v>1500</v>
      </c>
      <c r="F24" s="9" t="n">
        <v>4.7</v>
      </c>
      <c r="G24" s="10" t="inlineStr">
        <is>
          <t>No 1 entre os melhores avaliados | +50 compras no mes</t>
        </is>
      </c>
    </row>
    <row r="25" ht="26" customHeight="1">
      <c r="A25" s="11" t="inlineStr"/>
      <c r="B25" s="11" t="inlineStr">
        <is>
          <t>Kaytee</t>
        </is>
      </c>
      <c r="C25" s="12" t="inlineStr">
        <is>
          <t>Tigela Stoneware 3 In</t>
        </is>
      </c>
      <c r="D25" s="14" t="n">
        <v>20</v>
      </c>
      <c r="E25" s="11" t="n">
        <v>2700</v>
      </c>
      <c r="F25" s="11" t="n">
        <v>4.7</v>
      </c>
      <c r="G25" s="12" t="inlineStr"/>
    </row>
    <row r="26" ht="26" customHeight="1">
      <c r="A26" s="9" t="inlineStr"/>
      <c r="B26" s="9" t="inlineStr">
        <is>
          <t>Chalesco</t>
        </is>
      </c>
      <c r="C26" s="10" t="inlineStr">
        <is>
          <t>Comedouro Suporte Simples 300ml Passaros Inox</t>
        </is>
      </c>
      <c r="D26" s="13" t="n">
        <v>20.1</v>
      </c>
      <c r="E26" s="9" t="n">
        <v>195</v>
      </c>
      <c r="F26" s="9" t="n">
        <v>4.6</v>
      </c>
      <c r="G26" s="10" t="inlineStr">
        <is>
          <t>Concorrente direto da linha de aves da StillPet</t>
        </is>
      </c>
    </row>
    <row r="27" ht="26" customHeight="1">
      <c r="A27" s="11" t="inlineStr"/>
      <c r="B27" s="11" t="inlineStr">
        <is>
          <t>Chalesco</t>
        </is>
      </c>
      <c r="C27" s="12" t="inlineStr">
        <is>
          <t>Comedouro Inox 240ml</t>
        </is>
      </c>
      <c r="D27" s="14" t="n">
        <v>22.52</v>
      </c>
      <c r="E27" s="11" t="n">
        <v>370</v>
      </c>
      <c r="F27" s="11" t="n">
        <v>4.6</v>
      </c>
      <c r="G27" s="12" t="inlineStr"/>
    </row>
    <row r="28" ht="26" customHeight="1">
      <c r="A28" s="9" t="inlineStr"/>
      <c r="B28" s="9" t="inlineStr">
        <is>
          <t>Ferplast</t>
        </is>
      </c>
      <c r="C28" s="10" t="inlineStr">
        <is>
          <t>Sirio L300 Alimentador Passaros Inox 0,3L</t>
        </is>
      </c>
      <c r="D28" s="13" t="n">
        <v>23.78</v>
      </c>
      <c r="E28" s="9" t="n">
        <v>206</v>
      </c>
      <c r="F28" s="9" t="n">
        <v>4.6</v>
      </c>
      <c r="G28" s="10" t="inlineStr">
        <is>
          <t>Concorrente direto da linha de aves</t>
        </is>
      </c>
    </row>
    <row r="29" ht="26" customHeight="1">
      <c r="A29" s="11" t="inlineStr"/>
      <c r="B29" s="11" t="inlineStr">
        <is>
          <t>MY PET BRASIL</t>
        </is>
      </c>
      <c r="C29" s="12" t="inlineStr">
        <is>
          <t>Comedouro plastico para Roedores (cores sortidas)</t>
        </is>
      </c>
      <c r="D29" s="14" t="n">
        <v>24.48</v>
      </c>
      <c r="E29" s="11" t="n">
        <v>2</v>
      </c>
      <c r="F29" s="11" t="n">
        <v>5</v>
      </c>
      <c r="G29" s="12" t="inlineStr">
        <is>
          <t>MARCA EM DESTAQUE | 93% positivas de 10K+ clientes | 10K+ pedidos recentes | vendido pela Amazon 1P</t>
        </is>
      </c>
    </row>
    <row r="30" ht="26" customHeight="1">
      <c r="A30" s="9" t="inlineStr"/>
      <c r="B30" s="9" t="inlineStr">
        <is>
          <t>Pet Games</t>
        </is>
      </c>
      <c r="C30" s="10" t="inlineStr">
        <is>
          <t>Bebedouro Funcional Alto Dog Drink P</t>
        </is>
      </c>
      <c r="D30" s="13" t="n">
        <v>25.18</v>
      </c>
      <c r="E30" s="9" t="n">
        <v>245</v>
      </c>
      <c r="F30" s="9" t="n">
        <v>4.8</v>
      </c>
      <c r="G30" s="10" t="inlineStr"/>
    </row>
    <row r="31" ht="26" customHeight="1">
      <c r="A31" s="11" t="inlineStr"/>
      <c r="B31" s="11" t="inlineStr">
        <is>
          <t>MY PET BRASIL</t>
        </is>
      </c>
      <c r="C31" s="12" t="inlineStr">
        <is>
          <t>Comedouro Dupla Funcao 2 em 1</t>
        </is>
      </c>
      <c r="D31" s="14" t="n">
        <v>27.9</v>
      </c>
      <c r="E31" s="11" t="n">
        <v>330</v>
      </c>
      <c r="F31" s="11" t="n">
        <v>4.1</v>
      </c>
      <c r="G31" s="12" t="inlineStr"/>
    </row>
    <row r="32" ht="26" customHeight="1">
      <c r="A32" s="9" t="inlineStr"/>
      <c r="B32" s="9" t="inlineStr">
        <is>
          <t>Pet Games</t>
        </is>
      </c>
      <c r="C32" s="10" t="inlineStr">
        <is>
          <t>Comedouro Brinquedo Redondog P</t>
        </is>
      </c>
      <c r="D32" s="13" t="n">
        <v>28.9</v>
      </c>
      <c r="E32" s="9" t="n">
        <v>1900</v>
      </c>
      <c r="F32" s="9" t="n">
        <v>4.5</v>
      </c>
      <c r="G32" s="10" t="inlineStr">
        <is>
          <t>+50 compras no mes</t>
        </is>
      </c>
    </row>
    <row r="33" ht="26" customHeight="1">
      <c r="A33" s="11" t="inlineStr"/>
      <c r="B33" s="11" t="inlineStr">
        <is>
          <t>Chalesco</t>
        </is>
      </c>
      <c r="C33" s="12" t="inlineStr">
        <is>
          <t>Comedouro Duplo Cromado 360ml</t>
        </is>
      </c>
      <c r="D33" s="14" t="n">
        <v>38</v>
      </c>
      <c r="E33" s="11" t="n">
        <v>2700</v>
      </c>
      <c r="F33" s="11" t="n">
        <v>4.5</v>
      </c>
      <c r="G33" s="12" t="inlineStr">
        <is>
          <t>+50 compras no mes</t>
        </is>
      </c>
    </row>
    <row r="34" ht="26" customHeight="1">
      <c r="A34" s="9" t="inlineStr"/>
      <c r="B34" s="9" t="inlineStr">
        <is>
          <t>Pet Games</t>
        </is>
      </c>
      <c r="C34" s="10" t="inlineStr">
        <is>
          <t>Comedouro Lento Mini Pet Fit Pink</t>
        </is>
      </c>
      <c r="D34" s="13" t="n">
        <v>39</v>
      </c>
      <c r="E34" s="9" t="n">
        <v>1300</v>
      </c>
      <c r="F34" s="9" t="n">
        <v>4.6</v>
      </c>
      <c r="G34" s="10" t="inlineStr"/>
    </row>
    <row r="35" ht="26" customHeight="1">
      <c r="A35" s="11" t="inlineStr"/>
      <c r="B35" s="11" t="inlineStr">
        <is>
          <t>Ferplast</t>
        </is>
      </c>
      <c r="C35" s="12" t="inlineStr">
        <is>
          <t>PA 1088 Tigela Hamster ceramica 0,18L</t>
        </is>
      </c>
      <c r="D35" s="14" t="n">
        <v>46.9</v>
      </c>
      <c r="E35" s="11" t="n">
        <v>6</v>
      </c>
      <c r="F35" s="11" t="n">
        <v>5</v>
      </c>
      <c r="G35" s="12" t="inlineStr"/>
    </row>
    <row r="36" ht="26" customHeight="1">
      <c r="A36" s="9" t="inlineStr"/>
      <c r="B36" s="9" t="inlineStr">
        <is>
          <t>Chalesco</t>
        </is>
      </c>
      <c r="C36" s="10" t="inlineStr">
        <is>
          <t>Bebedouro com Suporte e Comedouro Medio Azul</t>
        </is>
      </c>
      <c r="D36" s="13" t="n">
        <v>82.98999999999999</v>
      </c>
      <c r="E36" s="9" t="n">
        <v>495</v>
      </c>
      <c r="F36" s="9" t="n">
        <v>4.2</v>
      </c>
      <c r="G36" s="10" t="inlineStr">
        <is>
          <t>+50 compras no mes</t>
        </is>
      </c>
    </row>
    <row r="38">
      <c r="B38" s="3" t="inlineStr">
        <is>
          <t>Preco mediano dos comparaveis</t>
        </is>
      </c>
      <c r="D38" s="19">
        <f>MEDIAN(D6:D36)</f>
        <v/>
      </c>
    </row>
    <row r="39">
      <c r="B39" s="3" t="inlineStr">
        <is>
          <t>Preco do comparavel StillPet (Luxo 300ml)</t>
        </is>
      </c>
      <c r="D39" s="19" t="n">
        <v>9.9</v>
      </c>
      <c r="G39" s="5" t="inlineStr">
        <is>
          <t>Abaixo da mediana da categoria - e mesmo assim nao aparece nos 48 primeiros</t>
        </is>
      </c>
    </row>
    <row r="42">
      <c r="B42" s="5" t="inlineStr">
        <is>
          <t>TOPO PATROCINADO DA BUSCA 'comedouro para roedor' - todos importados</t>
        </is>
      </c>
    </row>
    <row r="43">
      <c r="A43" s="8" t="inlineStr"/>
      <c r="B43" s="8" t="inlineStr">
        <is>
          <t>Marca / vendedor</t>
        </is>
      </c>
      <c r="C43" s="8" t="inlineStr">
        <is>
          <t>Produto</t>
        </is>
      </c>
      <c r="D43" s="8" t="inlineStr">
        <is>
          <t>Preco (R$)</t>
        </is>
      </c>
      <c r="E43" s="8" t="inlineStr">
        <is>
          <t>Prazo</t>
        </is>
      </c>
      <c r="F43" s="8" t="inlineStr"/>
      <c r="G43" s="8" t="inlineStr">
        <is>
          <t>Observacao</t>
        </is>
      </c>
    </row>
    <row r="44" ht="26" customHeight="1">
      <c r="A44" s="9" t="inlineStr"/>
      <c r="B44" s="9" t="inlineStr">
        <is>
          <t>Generico / mufern</t>
        </is>
      </c>
      <c r="C44" s="10" t="inlineStr">
        <is>
          <t>Comedouro para Passarinho Plastico PP 6 Pecas Gaiola</t>
        </is>
      </c>
      <c r="D44" s="13" t="n">
        <v>143.62</v>
      </c>
      <c r="E44" s="9" t="inlineStr">
        <is>
          <t>6 a 16 out</t>
        </is>
      </c>
      <c r="F44" s="9" t="n"/>
      <c r="G44" s="10" t="inlineStr">
        <is>
          <t>Compra Internacional | Patrocinado 1o lugar</t>
        </is>
      </c>
    </row>
    <row r="45" ht="26" customHeight="1">
      <c r="A45" s="11" t="inlineStr"/>
      <c r="B45" s="11" t="inlineStr">
        <is>
          <t>Generico / springway</t>
        </is>
      </c>
      <c r="C45" s="12" t="inlineStr">
        <is>
          <t>Tigela de Ceramica Morango Comedouro para Roedores</t>
        </is>
      </c>
      <c r="D45" s="14" t="n">
        <v>104.9</v>
      </c>
      <c r="E45" s="11" t="inlineStr">
        <is>
          <t>6 a 16 out</t>
        </is>
      </c>
      <c r="F45" s="11" t="n"/>
      <c r="G45" s="12" t="inlineStr">
        <is>
          <t>Compra Internacional | categorizado em 'Substratos e Areia'</t>
        </is>
      </c>
    </row>
    <row r="46" ht="26" customHeight="1">
      <c r="A46" s="9" t="inlineStr"/>
      <c r="B46" s="9" t="inlineStr">
        <is>
          <t>IEUDNS / LOVIVER US</t>
        </is>
      </c>
      <c r="C46" s="10" t="inlineStr">
        <is>
          <t>Comedouro Dispensador para Coelhos e Chinchilas</t>
        </is>
      </c>
      <c r="D46" s="13" t="n">
        <v>254.91</v>
      </c>
      <c r="E46" s="9" t="inlineStr">
        <is>
          <t>6 a 16 out</t>
        </is>
      </c>
      <c r="F46" s="9" t="n"/>
      <c r="G46" s="10" t="inlineStr">
        <is>
          <t>Compra Internacional | Somente 1 em estoque</t>
        </is>
      </c>
    </row>
    <row r="47" ht="26" customHeight="1">
      <c r="A47" s="11" t="inlineStr"/>
      <c r="B47" s="11" t="inlineStr">
        <is>
          <t>Generico / xinyee</t>
        </is>
      </c>
      <c r="C47" s="12" t="inlineStr">
        <is>
          <t>Comedouro Automatico para Tanques Carpas Koi Tartarugas</t>
        </is>
      </c>
      <c r="D47" s="14" t="n">
        <v>1055.32</v>
      </c>
      <c r="E47" s="11" t="inlineStr">
        <is>
          <t>7 a 19 out</t>
        </is>
      </c>
      <c r="F47" s="11" t="n"/>
      <c r="G47" s="12" t="inlineStr">
        <is>
          <t>Compra Internacional | categorizado em 'Aves e Passaros'</t>
        </is>
      </c>
    </row>
    <row r="49">
      <c r="B49" s="6" t="inlineStr">
        <is>
          <t>LEITURA: os quatro primeiros lugares da busca sao produto importado generico, de R$104 a R$1.055, com tres semanas de entrega e categoria errada. A StillPet fabrica no Brasil, entrega amanha via 1P e vende a R$9,36. Nao esta perdendo para um concorrente melhor - esta perdendo para produto pior, mais caro e mais lento, que preencheu a ficha e comprou o anuncio.</t>
        </is>
      </c>
    </row>
    <row r="50"/>
    <row r="51"/>
  </sheetData>
  <mergeCells count="1">
    <mergeCell ref="B49:G5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E14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" customWidth="1" min="1" max="1"/>
    <col width="42" customWidth="1" min="2" max="2"/>
    <col width="16" customWidth="1" min="3" max="3"/>
    <col width="60" customWidth="1" min="4" max="4"/>
    <col width="40" customWidth="1" min="5" max="5"/>
  </cols>
  <sheetData>
    <row r="2">
      <c r="B2" s="1" t="inlineStr">
        <is>
          <t>Buscas capturadas</t>
        </is>
      </c>
    </row>
    <row r="3">
      <c r="B3" s="2" t="inlineStr">
        <is>
          <t>Amazon.com.br, 23/09/2026, CEP 12244000</t>
        </is>
      </c>
    </row>
    <row r="5">
      <c r="A5" s="8" t="inlineStr"/>
      <c r="B5" s="8" t="inlineStr">
        <is>
          <t>Termo / filtro</t>
        </is>
      </c>
      <c r="C5" s="8" t="inlineStr">
        <is>
          <t>Resultados</t>
        </is>
      </c>
      <c r="D5" s="8" t="inlineStr">
        <is>
          <t>Onde a StillPet aparece</t>
        </is>
      </c>
      <c r="E5" s="8" t="inlineStr">
        <is>
          <t>Marcas que a Amazon destaca no filtro</t>
        </is>
      </c>
    </row>
    <row r="6" ht="60" customHeight="1">
      <c r="A6" s="9" t="inlineStr"/>
      <c r="B6" s="10" t="inlineStr">
        <is>
          <t>Filtro de marca: Tudo Pet</t>
        </is>
      </c>
      <c r="C6" s="9" t="inlineStr">
        <is>
          <t>151</t>
        </is>
      </c>
      <c r="D6" s="10" t="inlineStr">
        <is>
          <t>Universo do catalogo. 5 vendedores no filtro 'Vendido por'.</t>
        </is>
      </c>
      <c r="E6" s="10" t="inlineStr">
        <is>
          <t>n/a</t>
        </is>
      </c>
    </row>
    <row r="7" ht="60" customHeight="1">
      <c r="A7" s="11" t="inlineStr"/>
      <c r="B7" s="12" t="inlineStr">
        <is>
          <t>Busca por texto: 'still pet'</t>
        </is>
      </c>
      <c r="C7" s="11" t="inlineStr">
        <is>
          <t>19</t>
        </is>
      </c>
      <c r="D7" s="12" t="inlineStr">
        <is>
          <t>Os 2 primeiros sao PATROCINADOS de concorrentes (Petsko, newpet). Depois aparecem Limpaquarium e Anel Macico (marca Still Pet) e itens Tudo Pet.</t>
        </is>
      </c>
      <c r="E7" s="12" t="inlineStr">
        <is>
          <t>n/a</t>
        </is>
      </c>
    </row>
    <row r="8" ht="60" customHeight="1">
      <c r="A8" s="9" t="inlineStr"/>
      <c r="B8" s="10" t="inlineStr">
        <is>
          <t>'comedouro bebedouro cachorro plastico'</t>
        </is>
      </c>
      <c r="C8" s="9" t="inlineStr">
        <is>
          <t>mais de 2.000</t>
        </is>
      </c>
      <c r="D8" s="10" t="inlineStr">
        <is>
          <t>NENHUM produto Tudo Pet ou Still Pet nos 48 primeiros.</t>
        </is>
      </c>
      <c r="E8" s="10" t="inlineStr">
        <is>
          <t>Pet Games, VDRBG, Chalesco, Great Pets, FURACAOPET, MRPET, MY PET BRASIL</t>
        </is>
      </c>
    </row>
    <row r="9" ht="60" customHeight="1">
      <c r="A9" s="11" t="inlineStr"/>
      <c r="B9" s="12" t="inlineStr">
        <is>
          <t>'comedouro para roedor'</t>
        </is>
      </c>
      <c r="C9" s="11" t="inlineStr">
        <is>
          <t>999</t>
        </is>
      </c>
      <c r="D9" s="12" t="inlineStr">
        <is>
          <t>Aparece somente o 'Tudo Pet Comedouro Transparente para GATO 100ml' - produto errado, puxado pela categorizacao em Cachorros. A linha de roedores da fabrica nao aparece.</t>
        </is>
      </c>
      <c r="E9" s="12" t="inlineStr">
        <is>
          <t>Pet Games, Chalesco, FURACAOPET, MRPET, MY PET BRASIL, Ferplast</t>
        </is>
      </c>
    </row>
    <row r="12">
      <c r="B12" s="6" t="inlineStr">
        <is>
          <t>ACHADO: em nenhuma das duas buscas genericas a marca da fabrica esta entre as marcas que a Amazon destaca. Em ambas, MY PET BRASIL esta - e a My Pet Brasil e distribuidora que revende StillPet (mypetbrasil.com/stillpet).</t>
        </is>
      </c>
    </row>
    <row r="13"/>
    <row r="14"/>
  </sheetData>
  <mergeCells count="1">
    <mergeCell ref="B12:E1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2:G3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" customWidth="1" min="1" max="1"/>
    <col width="34" customWidth="1" min="2" max="2"/>
    <col width="18" customWidth="1" min="3" max="3"/>
    <col width="14" customWidth="1" min="4" max="4"/>
    <col width="16" customWidth="1" min="5" max="5"/>
    <col width="20" customWidth="1" min="6" max="6"/>
    <col width="30" customWidth="1" min="7" max="7"/>
  </cols>
  <sheetData>
    <row r="2">
      <c r="B2" s="1" t="inlineStr">
        <is>
          <t>Dispersao de preco no mesmo ASIN</t>
        </is>
      </c>
    </row>
    <row r="3">
      <c r="B3" s="2" t="inlineStr">
        <is>
          <t>Fonte: tela 'outros vendedores', Amazon.com.br, 23/09/2026</t>
        </is>
      </c>
    </row>
    <row r="5">
      <c r="A5" s="8" t="inlineStr"/>
      <c r="B5" s="8" t="inlineStr">
        <is>
          <t>Produto (mesmo ASIN)</t>
        </is>
      </c>
      <c r="C5" s="8" t="inlineStr">
        <is>
          <t>Vendedor</t>
        </is>
      </c>
      <c r="D5" s="8" t="inlineStr">
        <is>
          <t>Preco (R$)</t>
        </is>
      </c>
      <c r="E5" s="8" t="inlineStr">
        <is>
          <t>Logistica</t>
        </is>
      </c>
      <c r="F5" s="8" t="inlineStr">
        <is>
          <t>Entrega</t>
        </is>
      </c>
      <c r="G5" s="8" t="inlineStr">
        <is>
          <t>Reputacao do vendedor</t>
        </is>
      </c>
    </row>
    <row r="6" ht="30" customHeight="1">
      <c r="A6" s="9" t="inlineStr"/>
      <c r="B6" s="10" t="inlineStr">
        <is>
          <t>Tudo Pet Bebedouro Grande para Passaros</t>
        </is>
      </c>
      <c r="C6" s="10" t="inlineStr">
        <is>
          <t>Amazon.com.br (1P)</t>
        </is>
      </c>
      <c r="D6" s="13" t="n">
        <v>18.32</v>
      </c>
      <c r="E6" s="10" t="inlineStr">
        <is>
          <t>Amazon</t>
        </is>
      </c>
      <c r="F6" s="9" t="inlineStr">
        <is>
          <t>Amanha, 24/set</t>
        </is>
      </c>
      <c r="G6" s="10" t="inlineStr">
        <is>
          <t>-</t>
        </is>
      </c>
    </row>
    <row r="7" ht="30" customHeight="1">
      <c r="A7" s="11" t="inlineStr"/>
      <c r="B7" s="12" t="inlineStr">
        <is>
          <t>Tudo Pet Bebedouro Grande para Passaros</t>
        </is>
      </c>
      <c r="C7" s="12" t="inlineStr">
        <is>
          <t>Emporio Animal (3P)</t>
        </is>
      </c>
      <c r="D7" s="14" t="n">
        <v>11.25</v>
      </c>
      <c r="E7" s="12" t="inlineStr">
        <is>
          <t>Enviado pela Amazon (FBA)</t>
        </is>
      </c>
      <c r="F7" s="11" t="inlineStr">
        <is>
          <t>Domingo, 27/set</t>
        </is>
      </c>
      <c r="G7" s="12" t="inlineStr">
        <is>
          <t>368 avaliacoes | 95% positivas em 12 meses</t>
        </is>
      </c>
    </row>
    <row r="9">
      <c r="B9" s="3" t="inlineStr">
        <is>
          <t>Diferenca</t>
        </is>
      </c>
      <c r="D9" s="20">
        <f>D7-D6</f>
        <v/>
      </c>
    </row>
    <row r="10">
      <c r="B10" s="3" t="inlineStr">
        <is>
          <t>Terceiro mais barato que a Amazon 1P em</t>
        </is>
      </c>
      <c r="D10" s="21">
        <f>D7/D6-1</f>
        <v/>
      </c>
    </row>
    <row r="11">
      <c r="B11" s="3" t="inlineStr">
        <is>
          <t>Multiplo entre a maior e a menor oferta</t>
        </is>
      </c>
      <c r="D11" s="22">
        <f>D6/D7</f>
        <v/>
      </c>
    </row>
    <row r="13">
      <c r="B13" s="5" t="inlineStr">
        <is>
          <t>O QUE A PROPRIA AMAZON EXIBE NA PAGINA</t>
        </is>
      </c>
    </row>
    <row r="14">
      <c r="B14" s="6" t="inlineStr">
        <is>
          <t>'Disponivel a um preco mais baixo em outros vendedores que talvez nao ofereçam a entrega Prime gratis.' - a ressalva sobre Prime nao se aplica: o Emporio Animal usa FBA, entao o envio tambem e da Amazon.</t>
        </is>
      </c>
    </row>
    <row r="15"/>
    <row r="16"/>
    <row r="18">
      <c r="B18" s="5" t="inlineStr">
        <is>
          <t>HIPOTESE DE CAUSA - NAO CONFIRMADA, NAO LEVAR AO DECK SEM O CARLOS CONFIRMAR</t>
        </is>
      </c>
    </row>
    <row r="19" ht="26" customHeight="1">
      <c r="B19" s="4" t="inlineStr">
        <is>
          <t>1. Na call, a Beatriz declarou que a Amazon exigia desconto de 8% a 11% e que a StillPet 'subia um pouco o preco justamente para ter esse desconto'.</t>
        </is>
      </c>
    </row>
    <row r="20" ht="26" customHeight="1">
      <c r="B20" s="4" t="inlineStr">
        <is>
          <t>2. A Amazon monta a margem dela sobre um custo ja inflado - o 1P chega a R$18,32.</t>
        </is>
      </c>
    </row>
    <row r="21" ht="26" customHeight="1">
      <c r="B21" s="4" t="inlineStr">
        <is>
          <t>3. Um revendedor compra no atacado normal e lista via FBA a R$11,25, com margem.</t>
        </is>
      </c>
    </row>
    <row r="22" ht="26" customHeight="1">
      <c r="B22" s="4" t="inlineStr">
        <is>
          <t>4. A propria pagina da Amazon avisa o comprador que existe mais barato ao lado.</t>
        </is>
      </c>
    </row>
    <row r="23" ht="26" customHeight="1">
      <c r="B23" s="4" t="inlineStr">
        <is>
          <t>5. O ASIN 1P perde venda, e o algoritmo de compra da Amazon reduz o pedido de reposicao.</t>
        </is>
      </c>
    </row>
    <row r="24" ht="26" customHeight="1">
      <c r="B24" s="4" t="inlineStr">
        <is>
          <t>6. Foi exatamente o que a StillPet descreveu: o produto que representava 60-70% da venda na Amazon caiu.</t>
        </is>
      </c>
    </row>
    <row r="25" ht="26" customHeight="1">
      <c r="B25" s="4" t="inlineStr">
        <is>
          <t>7. A conclusao da fabrica virou 'a Amazon e burocratica e nao funciona'. A evidencia aponta para arquitetura de preco, nao burocracia.</t>
        </is>
      </c>
    </row>
    <row r="27">
      <c r="B27" s="5" t="inlineStr">
        <is>
          <t>RESTRICAO LEGAL - Lei 12.529/2011</t>
        </is>
      </c>
    </row>
    <row r="28">
      <c r="B28" s="6" t="inlineStr">
        <is>
          <t>Monitorar preco e orientar posicionamento: pode. Impor preco minimo de revenda com punicao: NAO. A correcao aqui e no preco de sell-in que a StillPet pratica com a Amazon e com os distribuidores - o que e 100% legal e 100% sob controle dela. Nunca escrever 'MAP enforcement', 'preco minimo aplicado' ou 'garantimos que ninguem venda abaixo de X'.</t>
        </is>
      </c>
    </row>
    <row r="29"/>
    <row r="30"/>
  </sheetData>
  <mergeCells count="9">
    <mergeCell ref="B14:G16"/>
    <mergeCell ref="B19:G19"/>
    <mergeCell ref="B20:G20"/>
    <mergeCell ref="B24:G24"/>
    <mergeCell ref="B22:G22"/>
    <mergeCell ref="B28:G30"/>
    <mergeCell ref="B23:G23"/>
    <mergeCell ref="B21:G21"/>
    <mergeCell ref="B25:G2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2026-09-23T14:21:08Z</dcterms:created>
  <dcterms:modified xsi:type="dcterms:W3CDTF">2026-09-23T14:21:08Z</dcterms:modified>
</cp:coreProperties>
</file>